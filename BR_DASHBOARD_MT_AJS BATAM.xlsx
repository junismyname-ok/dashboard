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D:\FRN\REPORT\MASTER CUSTOMER - DASHBOARD\"/>
    </mc:Choice>
  </mc:AlternateContent>
  <xr:revisionPtr revIDLastSave="0" documentId="13_ncr:1_{FF9D21FE-F67F-4320-BE6C-E3EFAFA01C42}" xr6:coauthVersionLast="47" xr6:coauthVersionMax="47" xr10:uidLastSave="{00000000-0000-0000-0000-000000000000}"/>
  <bookViews>
    <workbookView xWindow="-108" yWindow="-108" windowWidth="23256" windowHeight="12816" xr2:uid="{BE81F121-DDC8-49F5-8651-DF982ABC8473}"/>
  </bookViews>
  <sheets>
    <sheet name="DASHBOARD_BR" sheetId="3" r:id="rId1"/>
    <sheet name="SUMMARY MT 2026" sheetId="1" state="hidden" r:id="rId2"/>
    <sheet name="STM" sheetId="2" state="hidden" r:id="rId3"/>
    <sheet name="PVT_VICTORIA BY EXTENTION" sheetId="4" state="hidden" r:id="rId4"/>
  </sheets>
  <externalReferences>
    <externalReference r:id="rId5"/>
  </externalReferences>
  <definedNames>
    <definedName name="_xlnm.Print_Area" localSheetId="1">'SUMMARY MT 2026'!$C$1:$T$64</definedName>
    <definedName name="Slicer_____PARETO_SKU_2025">#N/A</definedName>
    <definedName name="Slicer_____PARETO_SKU_FEB_2026">#N/A</definedName>
    <definedName name="Slicer_____PARETO_SKU_JAN_2026">#N/A</definedName>
    <definedName name="Slicer_AVG_FY_24">#N/A</definedName>
    <definedName name="Slicer_AVG_FY_25">#N/A</definedName>
    <definedName name="Slicer_CUST_GROUP">#N/A</definedName>
    <definedName name="Slicer_CUSTNAME_DIST">#N/A</definedName>
    <definedName name="Slicer_CUSTNO_DIST">#N/A</definedName>
    <definedName name="Slicer_FY_25_VS_FY_24">#N/A</definedName>
    <definedName name="Slicer_GROWTH__BY_GROUP_FEB_26">#N/A</definedName>
    <definedName name="Slicer_GROWTH__BY_GROUP_JAN_26">#N/A</definedName>
    <definedName name="Slicer_GROWTH_FEB_26">#N/A</definedName>
    <definedName name="Slicer_GROWTH_FY_25_BY_GROUP">#N/A</definedName>
    <definedName name="Slicer_GROWTH_JAN_26">#N/A</definedName>
    <definedName name="Slicer_PARETO_SKU_2025">#N/A</definedName>
    <definedName name="Slicer_PARETO_SKU_FEB_2026">#N/A</definedName>
    <definedName name="Slicer_PARETO_SKU_JAN_2026">#N/A</definedName>
    <definedName name="Slicer_RANK_2024">#N/A</definedName>
    <definedName name="Slicer_RANK_2025">#N/A</definedName>
    <definedName name="Slicer_RANK_2026">#N/A</definedName>
    <definedName name="Slicer_TOTAL_FY_2025">#N/A</definedName>
  </definedNames>
  <calcPr calcId="191029"/>
  <pivotCaches>
    <pivotCache cacheId="83"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B9" i="4" l="1"/>
  <c r="AY9" i="4"/>
  <c r="AX9" i="4"/>
  <c r="AW9" i="4"/>
  <c r="AV9" i="4"/>
  <c r="AU9" i="4"/>
  <c r="AR9" i="4"/>
  <c r="AQ9" i="4"/>
  <c r="AP9" i="4"/>
  <c r="AO9" i="4"/>
  <c r="AN9" i="4"/>
  <c r="BB8" i="4"/>
  <c r="AZ8" i="4"/>
  <c r="AY8" i="4"/>
  <c r="AX8" i="4"/>
  <c r="AW8" i="4"/>
  <c r="AV8" i="4"/>
  <c r="AU8" i="4"/>
  <c r="AR8" i="4"/>
  <c r="AQ8" i="4"/>
  <c r="BB7" i="4"/>
  <c r="BA7" i="4"/>
  <c r="AY7" i="4"/>
  <c r="AX7" i="4"/>
  <c r="AW7" i="4"/>
  <c r="AV7" i="4"/>
  <c r="AU7" i="4"/>
  <c r="AR7" i="4"/>
  <c r="AQ7" i="4"/>
  <c r="AN7" i="4"/>
  <c r="BB6" i="4"/>
  <c r="AZ6" i="4"/>
  <c r="AY6" i="4"/>
  <c r="AX6" i="4"/>
  <c r="AW6" i="4"/>
  <c r="AV6" i="4"/>
  <c r="AU6" i="4"/>
  <c r="AR6" i="4"/>
  <c r="AQ6" i="4"/>
  <c r="AN6" i="4"/>
  <c r="BB5" i="4"/>
  <c r="AY5" i="4"/>
  <c r="AX5" i="4"/>
  <c r="AW5" i="4"/>
  <c r="AV5" i="4"/>
  <c r="AU5" i="4"/>
  <c r="AR5" i="4"/>
  <c r="AQ5" i="4"/>
  <c r="AN5" i="4"/>
  <c r="AM9" i="4"/>
  <c r="AM8" i="4"/>
  <c r="AM7" i="4"/>
  <c r="AM6" i="4"/>
  <c r="AM5" i="4"/>
  <c r="AK9" i="4"/>
  <c r="BA9" i="4" s="1"/>
  <c r="AJ9" i="4"/>
  <c r="AZ9" i="4" s="1"/>
  <c r="AD9" i="4"/>
  <c r="AT9" i="4" s="1"/>
  <c r="AC9" i="4"/>
  <c r="AS9" i="4" s="1"/>
  <c r="Z9" i="4"/>
  <c r="Y9" i="4"/>
  <c r="AK8" i="4"/>
  <c r="BA8" i="4" s="1"/>
  <c r="AJ8" i="4"/>
  <c r="AD8" i="4"/>
  <c r="AT8" i="4" s="1"/>
  <c r="AC8" i="4"/>
  <c r="AS8" i="4" s="1"/>
  <c r="Z8" i="4"/>
  <c r="AP8" i="4" s="1"/>
  <c r="Y8" i="4"/>
  <c r="AO8" i="4" s="1"/>
  <c r="X8" i="4"/>
  <c r="AN8" i="4" s="1"/>
  <c r="AK7" i="4"/>
  <c r="AJ7" i="4"/>
  <c r="AZ7" i="4" s="1"/>
  <c r="AD7" i="4"/>
  <c r="AT7" i="4" s="1"/>
  <c r="AC7" i="4"/>
  <c r="AS7" i="4" s="1"/>
  <c r="Z7" i="4"/>
  <c r="AP7" i="4" s="1"/>
  <c r="Y7" i="4"/>
  <c r="AO7" i="4" s="1"/>
  <c r="AK6" i="4"/>
  <c r="BA6" i="4" s="1"/>
  <c r="AJ6" i="4"/>
  <c r="AD6" i="4"/>
  <c r="AT6" i="4" s="1"/>
  <c r="AC6" i="4"/>
  <c r="AS6" i="4" s="1"/>
  <c r="Z6" i="4"/>
  <c r="AP6" i="4" s="1"/>
  <c r="Y6" i="4"/>
  <c r="AO6" i="4" s="1"/>
  <c r="AK5" i="4"/>
  <c r="BA5" i="4" s="1"/>
  <c r="AJ5" i="4"/>
  <c r="AZ5" i="4" s="1"/>
  <c r="AD5" i="4"/>
  <c r="AT5" i="4" s="1"/>
  <c r="AC5" i="4"/>
  <c r="AS5" i="4" s="1"/>
  <c r="Z5" i="4"/>
  <c r="AP5" i="4" s="1"/>
  <c r="Y5" i="4"/>
  <c r="AO5" i="4" s="1"/>
  <c r="L65" i="1"/>
  <c r="D65" i="2"/>
  <c r="C65" i="2" s="1"/>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D64" i="2"/>
  <c r="C64" i="2" s="1"/>
  <c r="D66" i="2"/>
  <c r="C66" i="2" s="1"/>
  <c r="D63" i="2"/>
  <c r="C63" i="2" s="1"/>
  <c r="D62" i="2"/>
  <c r="C62" i="2" s="1"/>
  <c r="D61" i="2"/>
  <c r="C61" i="2" s="1"/>
  <c r="D60" i="2"/>
  <c r="C60" i="2" s="1"/>
  <c r="D59" i="2"/>
  <c r="C59" i="2" s="1"/>
  <c r="D58" i="2"/>
  <c r="C58" i="2" s="1"/>
  <c r="D57" i="2"/>
  <c r="C57" i="2" s="1"/>
  <c r="D56" i="2"/>
  <c r="C56" i="2" s="1"/>
  <c r="D55" i="2"/>
  <c r="C55" i="2" s="1"/>
  <c r="D54" i="2"/>
  <c r="C54" i="2" s="1"/>
  <c r="D53" i="2"/>
  <c r="C53" i="2" s="1"/>
  <c r="D52" i="2"/>
  <c r="C52" i="2" s="1"/>
  <c r="D51" i="2"/>
  <c r="C51" i="2" s="1"/>
  <c r="D50" i="2"/>
  <c r="C50" i="2" s="1"/>
  <c r="D49" i="2"/>
  <c r="C49" i="2" s="1"/>
  <c r="D48" i="2"/>
  <c r="C48" i="2" s="1"/>
  <c r="D47" i="2"/>
  <c r="C47" i="2" s="1"/>
  <c r="D46" i="2"/>
  <c r="C46" i="2" s="1"/>
  <c r="D45" i="2"/>
  <c r="C45" i="2" s="1"/>
  <c r="D44" i="2"/>
  <c r="C44" i="2" s="1"/>
  <c r="D43" i="2"/>
  <c r="C43" i="2" s="1"/>
  <c r="D42" i="2"/>
  <c r="C42" i="2" s="1"/>
  <c r="D41" i="2"/>
  <c r="C41" i="2" s="1"/>
  <c r="D40" i="2"/>
  <c r="C40" i="2" s="1"/>
  <c r="D39" i="2"/>
  <c r="C39" i="2" s="1"/>
  <c r="D38" i="2"/>
  <c r="C38" i="2" s="1"/>
  <c r="D37" i="2"/>
  <c r="C37" i="2" s="1"/>
  <c r="D36" i="2"/>
  <c r="C36" i="2" s="1"/>
  <c r="D35" i="2"/>
  <c r="C35" i="2" s="1"/>
  <c r="D34" i="2"/>
  <c r="C34" i="2" s="1"/>
  <c r="D33" i="2"/>
  <c r="C33" i="2" s="1"/>
  <c r="D32" i="2"/>
  <c r="C32" i="2" s="1"/>
  <c r="D31" i="2"/>
  <c r="C31" i="2" s="1"/>
  <c r="D30" i="2"/>
  <c r="C30" i="2" s="1"/>
  <c r="D29" i="2"/>
  <c r="C29" i="2" s="1"/>
  <c r="D28" i="2"/>
  <c r="C28" i="2" s="1"/>
  <c r="D27" i="2"/>
  <c r="C27" i="2" s="1"/>
  <c r="D26" i="2"/>
  <c r="C26" i="2" s="1"/>
  <c r="D25" i="2"/>
  <c r="C25" i="2" s="1"/>
  <c r="D24" i="2"/>
  <c r="C24" i="2" s="1"/>
  <c r="D23" i="2"/>
  <c r="C23" i="2" s="1"/>
  <c r="D22" i="2"/>
  <c r="C22" i="2" s="1"/>
  <c r="D21" i="2"/>
  <c r="C21" i="2" s="1"/>
  <c r="D20" i="2"/>
  <c r="C20" i="2" s="1"/>
  <c r="D19" i="2"/>
  <c r="C19" i="2" s="1"/>
  <c r="D18" i="2"/>
  <c r="C18" i="2" s="1"/>
  <c r="D17" i="2"/>
  <c r="C17" i="2" s="1"/>
  <c r="D16" i="2"/>
  <c r="C16" i="2" s="1"/>
  <c r="D15" i="2"/>
  <c r="C15" i="2" s="1"/>
  <c r="D14" i="2"/>
  <c r="C14" i="2" s="1"/>
  <c r="D13" i="2"/>
  <c r="C13" i="2" s="1"/>
  <c r="D12" i="2"/>
  <c r="C12" i="2" s="1"/>
  <c r="D11" i="2"/>
  <c r="C11" i="2" s="1"/>
  <c r="D10" i="2"/>
  <c r="C10" i="2" s="1"/>
  <c r="D9" i="2"/>
  <c r="C9" i="2" s="1"/>
  <c r="D8" i="2"/>
  <c r="C8" i="2" s="1"/>
  <c r="D7" i="2"/>
  <c r="C7" i="2" s="1"/>
  <c r="D6" i="2"/>
  <c r="C6" i="2" s="1"/>
  <c r="D5" i="2"/>
  <c r="C5" i="2" s="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BI65" i="1"/>
  <c r="BG65" i="1"/>
  <c r="BE65" i="1"/>
  <c r="BC65" i="1"/>
  <c r="BA65" i="1"/>
  <c r="AY65" i="1"/>
  <c r="BJ64" i="1"/>
  <c r="BH64" i="1"/>
  <c r="BF64" i="1"/>
  <c r="BD64" i="1"/>
  <c r="BB64" i="1"/>
  <c r="AZ64" i="1"/>
  <c r="BJ63" i="1"/>
  <c r="BH63" i="1"/>
  <c r="BF63" i="1"/>
  <c r="BD63" i="1"/>
  <c r="BB63" i="1"/>
  <c r="AZ63" i="1"/>
  <c r="BJ62" i="1"/>
  <c r="BH62" i="1"/>
  <c r="BF62" i="1"/>
  <c r="BD62" i="1"/>
  <c r="BB62" i="1"/>
  <c r="AZ62" i="1"/>
  <c r="BJ61" i="1"/>
  <c r="BH61" i="1"/>
  <c r="BF61" i="1"/>
  <c r="BD61" i="1"/>
  <c r="BB61" i="1"/>
  <c r="AZ61" i="1"/>
  <c r="BJ60" i="1"/>
  <c r="BH60" i="1"/>
  <c r="BF60" i="1"/>
  <c r="BD60" i="1"/>
  <c r="BB60" i="1"/>
  <c r="AZ60" i="1"/>
  <c r="BJ59" i="1"/>
  <c r="BH59" i="1"/>
  <c r="BF59" i="1"/>
  <c r="BD59" i="1"/>
  <c r="BB59" i="1"/>
  <c r="AZ59" i="1"/>
  <c r="BJ58" i="1"/>
  <c r="BH58" i="1"/>
  <c r="BF58" i="1"/>
  <c r="BD58" i="1"/>
  <c r="BB58" i="1"/>
  <c r="AZ58" i="1"/>
  <c r="BJ57" i="1"/>
  <c r="BH57" i="1"/>
  <c r="BF57" i="1"/>
  <c r="BD57" i="1"/>
  <c r="BB57" i="1"/>
  <c r="AZ57" i="1"/>
  <c r="BJ56" i="1"/>
  <c r="BH56" i="1"/>
  <c r="BF56" i="1"/>
  <c r="BD56" i="1"/>
  <c r="BB56" i="1"/>
  <c r="AZ56" i="1"/>
  <c r="BJ55" i="1"/>
  <c r="BH55" i="1"/>
  <c r="BF55" i="1"/>
  <c r="BD55" i="1"/>
  <c r="BB55" i="1"/>
  <c r="AZ55" i="1"/>
  <c r="BJ54" i="1"/>
  <c r="BH54" i="1"/>
  <c r="BF54" i="1"/>
  <c r="BD54" i="1"/>
  <c r="BB54" i="1"/>
  <c r="AZ54" i="1"/>
  <c r="BJ53" i="1"/>
  <c r="BH53" i="1"/>
  <c r="BF53" i="1"/>
  <c r="BD53" i="1"/>
  <c r="BB53" i="1"/>
  <c r="AZ53" i="1"/>
  <c r="BJ52" i="1"/>
  <c r="BH52" i="1"/>
  <c r="BF52" i="1"/>
  <c r="BD52" i="1"/>
  <c r="BB52" i="1"/>
  <c r="AZ52" i="1"/>
  <c r="BJ51" i="1"/>
  <c r="BH51" i="1"/>
  <c r="BF51" i="1"/>
  <c r="BD51" i="1"/>
  <c r="BB51" i="1"/>
  <c r="AZ51" i="1"/>
  <c r="BJ50" i="1"/>
  <c r="BH50" i="1"/>
  <c r="BF50" i="1"/>
  <c r="BD50" i="1"/>
  <c r="BB50" i="1"/>
  <c r="AZ50" i="1"/>
  <c r="BJ49" i="1"/>
  <c r="BH49" i="1"/>
  <c r="BF49" i="1"/>
  <c r="BD49" i="1"/>
  <c r="BB49" i="1"/>
  <c r="AZ49" i="1"/>
  <c r="BJ48" i="1"/>
  <c r="BH48" i="1"/>
  <c r="BF48" i="1"/>
  <c r="BD48" i="1"/>
  <c r="BB48" i="1"/>
  <c r="AZ48" i="1"/>
  <c r="BJ47" i="1"/>
  <c r="BH47" i="1"/>
  <c r="BF47" i="1"/>
  <c r="BD47" i="1"/>
  <c r="BB47" i="1"/>
  <c r="AZ47" i="1"/>
  <c r="BJ46" i="1"/>
  <c r="BH46" i="1"/>
  <c r="BF46" i="1"/>
  <c r="BD46" i="1"/>
  <c r="BB46" i="1"/>
  <c r="AZ46" i="1"/>
  <c r="BJ45" i="1"/>
  <c r="BH45" i="1"/>
  <c r="BF45" i="1"/>
  <c r="BD45" i="1"/>
  <c r="BB45" i="1"/>
  <c r="AZ45" i="1"/>
  <c r="BJ44" i="1"/>
  <c r="BH44" i="1"/>
  <c r="BF44" i="1"/>
  <c r="BD44" i="1"/>
  <c r="BB44" i="1"/>
  <c r="AZ44" i="1"/>
  <c r="BJ43" i="1"/>
  <c r="BH43" i="1"/>
  <c r="BF43" i="1"/>
  <c r="BD43" i="1"/>
  <c r="BB43" i="1"/>
  <c r="AZ43" i="1"/>
  <c r="BJ42" i="1"/>
  <c r="BH42" i="1"/>
  <c r="BF42" i="1"/>
  <c r="BD42" i="1"/>
  <c r="BB42" i="1"/>
  <c r="AZ42" i="1"/>
  <c r="BJ41" i="1"/>
  <c r="BH41" i="1"/>
  <c r="BF41" i="1"/>
  <c r="BD41" i="1"/>
  <c r="BB41" i="1"/>
  <c r="AZ41" i="1"/>
  <c r="BJ40" i="1"/>
  <c r="BH40" i="1"/>
  <c r="BF40" i="1"/>
  <c r="BD40" i="1"/>
  <c r="BB40" i="1"/>
  <c r="AZ40" i="1"/>
  <c r="BJ39" i="1"/>
  <c r="BH39" i="1"/>
  <c r="BF39" i="1"/>
  <c r="BD39" i="1"/>
  <c r="BB39" i="1"/>
  <c r="AZ39" i="1"/>
  <c r="BJ38" i="1"/>
  <c r="BH38" i="1"/>
  <c r="BF38" i="1"/>
  <c r="BD38" i="1"/>
  <c r="BB38" i="1"/>
  <c r="AZ38" i="1"/>
  <c r="BJ37" i="1"/>
  <c r="BH37" i="1"/>
  <c r="BF37" i="1"/>
  <c r="BD37" i="1"/>
  <c r="BB37" i="1"/>
  <c r="AZ37" i="1"/>
  <c r="BJ36" i="1"/>
  <c r="BH36" i="1"/>
  <c r="BF36" i="1"/>
  <c r="BD36" i="1"/>
  <c r="BB36" i="1"/>
  <c r="AZ36" i="1"/>
  <c r="BJ35" i="1"/>
  <c r="BH35" i="1"/>
  <c r="BF35" i="1"/>
  <c r="BD35" i="1"/>
  <c r="BB35" i="1"/>
  <c r="AZ35" i="1"/>
  <c r="BJ34" i="1"/>
  <c r="BH34" i="1"/>
  <c r="BF34" i="1"/>
  <c r="BD34" i="1"/>
  <c r="BB34" i="1"/>
  <c r="AZ34" i="1"/>
  <c r="BJ33" i="1"/>
  <c r="BH33" i="1"/>
  <c r="BF33" i="1"/>
  <c r="BD33" i="1"/>
  <c r="BB33" i="1"/>
  <c r="AZ33" i="1"/>
  <c r="BJ32" i="1"/>
  <c r="BH32" i="1"/>
  <c r="BF32" i="1"/>
  <c r="BD32" i="1"/>
  <c r="BB32" i="1"/>
  <c r="AZ32" i="1"/>
  <c r="BJ31" i="1"/>
  <c r="BH31" i="1"/>
  <c r="BF31" i="1"/>
  <c r="BD31" i="1"/>
  <c r="BB31" i="1"/>
  <c r="AZ31" i="1"/>
  <c r="BJ30" i="1"/>
  <c r="BH30" i="1"/>
  <c r="BF30" i="1"/>
  <c r="BD30" i="1"/>
  <c r="BB30" i="1"/>
  <c r="AZ30" i="1"/>
  <c r="BJ29" i="1"/>
  <c r="BH29" i="1"/>
  <c r="BF29" i="1"/>
  <c r="BD29" i="1"/>
  <c r="BB29" i="1"/>
  <c r="AZ29" i="1"/>
  <c r="BJ28" i="1"/>
  <c r="BH28" i="1"/>
  <c r="BF28" i="1"/>
  <c r="BD28" i="1"/>
  <c r="BB28" i="1"/>
  <c r="AZ28" i="1"/>
  <c r="BJ27" i="1"/>
  <c r="BH27" i="1"/>
  <c r="BF27" i="1"/>
  <c r="BD27" i="1"/>
  <c r="BB27" i="1"/>
  <c r="AZ27" i="1"/>
  <c r="BJ26" i="1"/>
  <c r="BH26" i="1"/>
  <c r="BF26" i="1"/>
  <c r="BD26" i="1"/>
  <c r="BB26" i="1"/>
  <c r="AZ26" i="1"/>
  <c r="BJ25" i="1"/>
  <c r="BH25" i="1"/>
  <c r="BF25" i="1"/>
  <c r="BD25" i="1"/>
  <c r="BB25" i="1"/>
  <c r="AZ25" i="1"/>
  <c r="BJ24" i="1"/>
  <c r="BH24" i="1"/>
  <c r="BF24" i="1"/>
  <c r="BD24" i="1"/>
  <c r="BB24" i="1"/>
  <c r="AZ24" i="1"/>
  <c r="BJ23" i="1"/>
  <c r="BH23" i="1"/>
  <c r="BF23" i="1"/>
  <c r="BD23" i="1"/>
  <c r="BB23" i="1"/>
  <c r="AZ23" i="1"/>
  <c r="BJ22" i="1"/>
  <c r="BH22" i="1"/>
  <c r="BF22" i="1"/>
  <c r="BD22" i="1"/>
  <c r="BB22" i="1"/>
  <c r="AZ22" i="1"/>
  <c r="BJ21" i="1"/>
  <c r="BH21" i="1"/>
  <c r="BF21" i="1"/>
  <c r="BD21" i="1"/>
  <c r="BB21" i="1"/>
  <c r="AZ21" i="1"/>
  <c r="BJ20" i="1"/>
  <c r="BH20" i="1"/>
  <c r="BF20" i="1"/>
  <c r="BD20" i="1"/>
  <c r="BB20" i="1"/>
  <c r="AZ20" i="1"/>
  <c r="BJ19" i="1"/>
  <c r="BH19" i="1"/>
  <c r="BF19" i="1"/>
  <c r="BD19" i="1"/>
  <c r="BB19" i="1"/>
  <c r="AZ19" i="1"/>
  <c r="BJ18" i="1"/>
  <c r="BH18" i="1"/>
  <c r="BF18" i="1"/>
  <c r="BD18" i="1"/>
  <c r="BB18" i="1"/>
  <c r="AZ18" i="1"/>
  <c r="BJ17" i="1"/>
  <c r="BH17" i="1"/>
  <c r="BF17" i="1"/>
  <c r="BD17" i="1"/>
  <c r="BB17" i="1"/>
  <c r="AZ17" i="1"/>
  <c r="BJ16" i="1"/>
  <c r="BH16" i="1"/>
  <c r="BF16" i="1"/>
  <c r="BD16" i="1"/>
  <c r="BB16" i="1"/>
  <c r="AZ16" i="1"/>
  <c r="BJ15" i="1"/>
  <c r="BH15" i="1"/>
  <c r="BF15" i="1"/>
  <c r="BD15" i="1"/>
  <c r="BB15" i="1"/>
  <c r="AZ15" i="1"/>
  <c r="BJ14" i="1"/>
  <c r="BH14" i="1"/>
  <c r="BF14" i="1"/>
  <c r="BD14" i="1"/>
  <c r="BB14" i="1"/>
  <c r="AZ14" i="1"/>
  <c r="BJ13" i="1"/>
  <c r="BH13" i="1"/>
  <c r="BF13" i="1"/>
  <c r="BD13" i="1"/>
  <c r="BB13" i="1"/>
  <c r="AZ13" i="1"/>
  <c r="BJ12" i="1"/>
  <c r="BH12" i="1"/>
  <c r="BF12" i="1"/>
  <c r="BD12" i="1"/>
  <c r="BB12" i="1"/>
  <c r="AZ12" i="1"/>
  <c r="BJ11" i="1"/>
  <c r="BH11" i="1"/>
  <c r="BF11" i="1"/>
  <c r="BD11" i="1"/>
  <c r="BB11" i="1"/>
  <c r="AZ11" i="1"/>
  <c r="BJ10" i="1"/>
  <c r="BH10" i="1"/>
  <c r="BF10" i="1"/>
  <c r="BD10" i="1"/>
  <c r="BB10" i="1"/>
  <c r="AZ10" i="1"/>
  <c r="BJ9" i="1"/>
  <c r="BH9" i="1"/>
  <c r="BF9" i="1"/>
  <c r="BD9" i="1"/>
  <c r="BB9" i="1"/>
  <c r="AZ9" i="1"/>
  <c r="BJ8" i="1"/>
  <c r="BH8" i="1"/>
  <c r="BF8" i="1"/>
  <c r="BD8" i="1"/>
  <c r="BB8" i="1"/>
  <c r="AZ8" i="1"/>
  <c r="BJ7" i="1"/>
  <c r="BH7" i="1"/>
  <c r="BF7" i="1"/>
  <c r="BD7" i="1"/>
  <c r="BB7" i="1"/>
  <c r="AZ7" i="1"/>
  <c r="BJ6" i="1"/>
  <c r="BH6" i="1"/>
  <c r="BF6" i="1"/>
  <c r="BD6" i="1"/>
  <c r="BB6" i="1"/>
  <c r="AZ6" i="1"/>
  <c r="BJ5" i="1"/>
  <c r="BH5" i="1"/>
  <c r="BF5" i="1"/>
  <c r="BD5" i="1"/>
  <c r="BB5" i="1"/>
  <c r="AZ5" i="1"/>
  <c r="BJ4" i="1"/>
  <c r="BH4" i="1"/>
  <c r="BF4" i="1"/>
  <c r="BD4" i="1"/>
  <c r="BB4" i="1"/>
  <c r="AZ4" i="1"/>
  <c r="AW65" i="1"/>
  <c r="AX64" i="1"/>
  <c r="AX63" i="1"/>
  <c r="AX62" i="1"/>
  <c r="AX61" i="1"/>
  <c r="AX60" i="1"/>
  <c r="AX59" i="1"/>
  <c r="AX58" i="1"/>
  <c r="AX5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X6" i="1"/>
  <c r="AX5" i="1"/>
  <c r="AX4" i="1"/>
  <c r="AU65" i="1"/>
  <c r="AV64" i="1"/>
  <c r="AV63" i="1"/>
  <c r="AV62" i="1"/>
  <c r="AV61" i="1"/>
  <c r="AV60" i="1"/>
  <c r="AV59" i="1"/>
  <c r="AV58" i="1"/>
  <c r="AV57" i="1"/>
  <c r="AV56" i="1"/>
  <c r="AV55" i="1"/>
  <c r="AV54" i="1"/>
  <c r="AV53" i="1"/>
  <c r="AV52" i="1"/>
  <c r="AV51" i="1"/>
  <c r="AV50" i="1"/>
  <c r="AV49" i="1"/>
  <c r="AV48" i="1"/>
  <c r="AV47" i="1"/>
  <c r="AV46" i="1"/>
  <c r="AV45" i="1"/>
  <c r="AV44" i="1"/>
  <c r="AV43" i="1"/>
  <c r="AV42" i="1"/>
  <c r="AV41" i="1"/>
  <c r="AV40" i="1"/>
  <c r="AV39" i="1"/>
  <c r="AV38" i="1"/>
  <c r="AV37" i="1"/>
  <c r="AV36" i="1"/>
  <c r="AV35" i="1"/>
  <c r="AV34" i="1"/>
  <c r="AV33" i="1"/>
  <c r="AV32" i="1"/>
  <c r="AV31" i="1"/>
  <c r="AV30" i="1"/>
  <c r="AV29" i="1"/>
  <c r="AV28" i="1"/>
  <c r="AV27" i="1"/>
  <c r="AV26" i="1"/>
  <c r="AV25" i="1"/>
  <c r="AV24" i="1"/>
  <c r="AV23" i="1"/>
  <c r="AV22" i="1"/>
  <c r="AV21" i="1"/>
  <c r="AV20" i="1"/>
  <c r="AV19" i="1"/>
  <c r="AV18" i="1"/>
  <c r="AV17" i="1"/>
  <c r="AV16" i="1"/>
  <c r="AV15" i="1"/>
  <c r="AV14" i="1"/>
  <c r="AV13" i="1"/>
  <c r="AV12" i="1"/>
  <c r="AV11" i="1"/>
  <c r="AV10" i="1"/>
  <c r="AV9" i="1"/>
  <c r="AV8" i="1"/>
  <c r="AV7" i="1"/>
  <c r="AV6" i="1"/>
  <c r="AV5" i="1"/>
  <c r="AV4" i="1"/>
  <c r="AS65" i="1"/>
  <c r="AT64" i="1"/>
  <c r="AT63" i="1"/>
  <c r="AT62" i="1"/>
  <c r="AT61" i="1"/>
  <c r="AT60" i="1"/>
  <c r="AT59" i="1"/>
  <c r="AT58" i="1"/>
  <c r="AT57"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AT11" i="1"/>
  <c r="AT10" i="1"/>
  <c r="AT9" i="1"/>
  <c r="AT8" i="1"/>
  <c r="AT7" i="1"/>
  <c r="AT6" i="1"/>
  <c r="AT5" i="1"/>
  <c r="AT4"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Q65" i="1"/>
  <c r="AT65" i="1" s="1"/>
  <c r="F65" i="1"/>
  <c r="G65" i="1"/>
  <c r="I65" i="1"/>
  <c r="I70" i="1"/>
  <c r="I88" i="1"/>
  <c r="G88" i="1"/>
  <c r="I87" i="1"/>
  <c r="G87" i="1"/>
  <c r="I86" i="1"/>
  <c r="G86" i="1"/>
  <c r="I85" i="1"/>
  <c r="G85" i="1"/>
  <c r="I84" i="1"/>
  <c r="G84" i="1"/>
  <c r="I83" i="1"/>
  <c r="G83" i="1"/>
  <c r="I82" i="1"/>
  <c r="G82" i="1"/>
  <c r="I81" i="1"/>
  <c r="G81" i="1"/>
  <c r="I80" i="1"/>
  <c r="G80" i="1"/>
  <c r="I79" i="1"/>
  <c r="G79" i="1"/>
  <c r="I78" i="1"/>
  <c r="G78" i="1"/>
  <c r="I77" i="1"/>
  <c r="G77" i="1"/>
  <c r="I76" i="1"/>
  <c r="G76" i="1"/>
  <c r="I75" i="1"/>
  <c r="G75" i="1"/>
  <c r="I74" i="1"/>
  <c r="G74" i="1"/>
  <c r="I73" i="1"/>
  <c r="G73" i="1"/>
  <c r="I72" i="1"/>
  <c r="G72" i="1"/>
  <c r="I71" i="1"/>
  <c r="G71" i="1"/>
  <c r="G70"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C88" i="1" l="1"/>
  <c r="C87" i="1"/>
  <c r="C75" i="1"/>
  <c r="C49" i="1"/>
  <c r="C50" i="1"/>
  <c r="C59" i="1"/>
  <c r="C46" i="1"/>
  <c r="C43" i="1"/>
  <c r="C26" i="1"/>
  <c r="C51" i="1"/>
  <c r="C18" i="1"/>
  <c r="C34" i="1"/>
  <c r="C19" i="1"/>
  <c r="C35" i="1"/>
  <c r="C4" i="1"/>
  <c r="C20" i="1"/>
  <c r="C36" i="1"/>
  <c r="C52" i="1"/>
  <c r="C83" i="1"/>
  <c r="C5" i="1"/>
  <c r="C21" i="1"/>
  <c r="C37" i="1"/>
  <c r="C53" i="1"/>
  <c r="C6" i="1"/>
  <c r="C22" i="1"/>
  <c r="C38" i="1"/>
  <c r="C54" i="1"/>
  <c r="C7" i="1"/>
  <c r="C23" i="1"/>
  <c r="C39" i="1"/>
  <c r="C55" i="1"/>
  <c r="C8" i="1"/>
  <c r="C24" i="1"/>
  <c r="C40" i="1"/>
  <c r="C56" i="1"/>
  <c r="C9" i="1"/>
  <c r="C25" i="1"/>
  <c r="C41" i="1"/>
  <c r="C57" i="1"/>
  <c r="C58" i="1"/>
  <c r="C10" i="1"/>
  <c r="C42" i="1"/>
  <c r="C11" i="1"/>
  <c r="C27" i="1"/>
  <c r="C12" i="1"/>
  <c r="C28" i="1"/>
  <c r="C44" i="1"/>
  <c r="C60" i="1"/>
  <c r="C13" i="1"/>
  <c r="C29" i="1"/>
  <c r="C45" i="1"/>
  <c r="C61" i="1"/>
  <c r="C14" i="1"/>
  <c r="C30" i="1"/>
  <c r="C62" i="1"/>
  <c r="C31" i="1"/>
  <c r="C63" i="1"/>
  <c r="C16" i="1"/>
  <c r="C32" i="1"/>
  <c r="C48" i="1"/>
  <c r="C64" i="1"/>
  <c r="C15" i="1"/>
  <c r="C47" i="1"/>
  <c r="C17" i="1"/>
  <c r="C33" i="1"/>
  <c r="C72" i="1"/>
  <c r="C76" i="1"/>
  <c r="C74" i="1"/>
  <c r="C82" i="1"/>
  <c r="C81" i="1"/>
  <c r="C71" i="1"/>
  <c r="C73" i="1"/>
  <c r="C86" i="1"/>
  <c r="C84" i="1"/>
  <c r="C77" i="1"/>
  <c r="C79" i="1"/>
  <c r="C78" i="1"/>
  <c r="C80" i="1"/>
  <c r="C70" i="1"/>
  <c r="C85" i="1"/>
  <c r="AZ65" i="1"/>
  <c r="BB65" i="1"/>
  <c r="BD65" i="1"/>
  <c r="BF65" i="1"/>
  <c r="BH65" i="1"/>
  <c r="BJ65" i="1"/>
  <c r="AX65" i="1"/>
  <c r="AV65" i="1"/>
  <c r="AR65" i="1"/>
  <c r="B80" i="1" l="1"/>
  <c r="B71" i="1"/>
  <c r="B81" i="1"/>
  <c r="B85" i="1"/>
  <c r="B84" i="1"/>
  <c r="B86" i="1"/>
  <c r="B76" i="1"/>
  <c r="B88" i="1"/>
  <c r="B73" i="1"/>
  <c r="B78" i="1"/>
  <c r="B79" i="1"/>
  <c r="B77" i="1"/>
  <c r="B82" i="1"/>
  <c r="B83" i="1"/>
  <c r="B72" i="1"/>
  <c r="B74" i="1"/>
  <c r="B87" i="1"/>
  <c r="B70" i="1"/>
  <c r="B75" i="1"/>
  <c r="H88" i="1" l="1"/>
  <c r="H87" i="1"/>
  <c r="H86" i="1"/>
  <c r="H85" i="1"/>
  <c r="H84" i="1"/>
  <c r="H82" i="1"/>
  <c r="H81" i="1"/>
  <c r="H80" i="1"/>
  <c r="H79" i="1"/>
  <c r="H78" i="1"/>
  <c r="H77" i="1"/>
  <c r="J76" i="1"/>
  <c r="H75" i="1"/>
  <c r="H73" i="1"/>
  <c r="H71"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84" i="1" l="1"/>
  <c r="M84" i="1"/>
  <c r="L84" i="1"/>
  <c r="K77" i="1"/>
  <c r="M77" i="1"/>
  <c r="L77" i="1"/>
  <c r="K71" i="1"/>
  <c r="L4" i="1" s="1"/>
  <c r="M71" i="1"/>
  <c r="P4" i="1" s="1"/>
  <c r="L71" i="1"/>
  <c r="N4" i="1" s="1"/>
  <c r="K79" i="1"/>
  <c r="L13" i="1" s="1"/>
  <c r="L79" i="1"/>
  <c r="N13" i="1" s="1"/>
  <c r="M79" i="1"/>
  <c r="P13" i="1" s="1"/>
  <c r="K87" i="1"/>
  <c r="L61" i="1" s="1"/>
  <c r="M87" i="1"/>
  <c r="P61" i="1" s="1"/>
  <c r="L87" i="1"/>
  <c r="N61" i="1" s="1"/>
  <c r="K80" i="1"/>
  <c r="L80" i="1"/>
  <c r="M80" i="1"/>
  <c r="M88" i="1"/>
  <c r="P63" i="1" s="1"/>
  <c r="L88" i="1"/>
  <c r="N63" i="1" s="1"/>
  <c r="K85" i="1"/>
  <c r="L36" i="1" s="1"/>
  <c r="M85" i="1"/>
  <c r="P36" i="1" s="1"/>
  <c r="L85" i="1"/>
  <c r="N36" i="1" s="1"/>
  <c r="K86" i="1"/>
  <c r="L60" i="1" s="1"/>
  <c r="M86" i="1"/>
  <c r="P60" i="1" s="1"/>
  <c r="L86" i="1"/>
  <c r="N60" i="1" s="1"/>
  <c r="L73" i="1"/>
  <c r="M73" i="1"/>
  <c r="K82" i="1"/>
  <c r="M82" i="1"/>
  <c r="L82" i="1"/>
  <c r="L75" i="1"/>
  <c r="M75" i="1"/>
  <c r="K78" i="1"/>
  <c r="M78" i="1"/>
  <c r="L78" i="1"/>
  <c r="K81" i="1"/>
  <c r="L22" i="1" s="1"/>
  <c r="L81" i="1"/>
  <c r="N22" i="1" s="1"/>
  <c r="M81" i="1"/>
  <c r="P22" i="1" s="1"/>
  <c r="J78" i="1"/>
  <c r="J86" i="1"/>
  <c r="D70" i="1"/>
  <c r="J79" i="1"/>
  <c r="H89" i="1"/>
  <c r="J87" i="1"/>
  <c r="K73" i="1"/>
  <c r="J80" i="1"/>
  <c r="K88" i="1"/>
  <c r="L63" i="1" s="1"/>
  <c r="J77" i="1"/>
  <c r="J74" i="1"/>
  <c r="D78" i="1"/>
  <c r="J85" i="1"/>
  <c r="J73" i="1"/>
  <c r="D79" i="1"/>
  <c r="D83" i="1"/>
  <c r="J88" i="1"/>
  <c r="J81" i="1"/>
  <c r="J82" i="1"/>
  <c r="K75" i="1"/>
  <c r="D76" i="1"/>
  <c r="J83" i="1"/>
  <c r="J71" i="1"/>
  <c r="D84" i="1"/>
  <c r="H70" i="1"/>
  <c r="D75" i="1"/>
  <c r="J70" i="1"/>
  <c r="D73" i="1"/>
  <c r="F89" i="1"/>
  <c r="D72" i="1"/>
  <c r="D86" i="1"/>
  <c r="D77" i="1"/>
  <c r="J72" i="1"/>
  <c r="D82" i="1"/>
  <c r="D80" i="1"/>
  <c r="D74" i="1"/>
  <c r="H76" i="1"/>
  <c r="D81" i="1"/>
  <c r="H83" i="1"/>
  <c r="D88" i="1"/>
  <c r="H74" i="1"/>
  <c r="H72" i="1"/>
  <c r="D87" i="1"/>
  <c r="J75" i="1"/>
  <c r="D85" i="1"/>
  <c r="D71" i="1"/>
  <c r="J84" i="1"/>
  <c r="L48" i="1" l="1"/>
  <c r="L21" i="1"/>
  <c r="L10" i="1"/>
  <c r="L41" i="1"/>
  <c r="L33" i="1"/>
  <c r="L37" i="1"/>
  <c r="L29" i="1"/>
  <c r="L49" i="1"/>
  <c r="L31" i="1"/>
  <c r="L34" i="1"/>
  <c r="L15" i="1"/>
  <c r="L23" i="1"/>
  <c r="L6" i="1"/>
  <c r="L11" i="1"/>
  <c r="L42" i="1"/>
  <c r="L47" i="1"/>
  <c r="L52" i="1"/>
  <c r="L44" i="1"/>
  <c r="L45" i="1"/>
  <c r="L18" i="1"/>
  <c r="L51" i="1"/>
  <c r="L53" i="1"/>
  <c r="L46" i="1"/>
  <c r="L55" i="1"/>
  <c r="L62" i="1"/>
  <c r="L40" i="1"/>
  <c r="L57" i="1"/>
  <c r="L58" i="1"/>
  <c r="L64" i="1"/>
  <c r="N10" i="1"/>
  <c r="N48" i="1"/>
  <c r="N21" i="1"/>
  <c r="N41" i="1"/>
  <c r="N42" i="1"/>
  <c r="N47" i="1"/>
  <c r="P6" i="1"/>
  <c r="P23" i="1"/>
  <c r="P11" i="1"/>
  <c r="P15" i="1"/>
  <c r="P42" i="1"/>
  <c r="P47" i="1"/>
  <c r="N11" i="1"/>
  <c r="N15" i="1"/>
  <c r="N23" i="1"/>
  <c r="N6" i="1"/>
  <c r="N45" i="1"/>
  <c r="N62" i="1"/>
  <c r="N46" i="1"/>
  <c r="N55" i="1"/>
  <c r="N44" i="1"/>
  <c r="N18" i="1"/>
  <c r="N51" i="1"/>
  <c r="N52" i="1"/>
  <c r="N53" i="1"/>
  <c r="P51" i="1"/>
  <c r="P52" i="1"/>
  <c r="P53" i="1"/>
  <c r="P46" i="1"/>
  <c r="P18" i="1"/>
  <c r="P55" i="1"/>
  <c r="P44" i="1"/>
  <c r="P45" i="1"/>
  <c r="P62" i="1"/>
  <c r="N29" i="1"/>
  <c r="N33" i="1"/>
  <c r="N49" i="1"/>
  <c r="N37" i="1"/>
  <c r="P33" i="1"/>
  <c r="P49" i="1"/>
  <c r="P37" i="1"/>
  <c r="P29" i="1"/>
  <c r="N58" i="1"/>
  <c r="N64" i="1"/>
  <c r="N40" i="1"/>
  <c r="N57" i="1"/>
  <c r="P31" i="1"/>
  <c r="P34" i="1"/>
  <c r="P64" i="1"/>
  <c r="P40" i="1"/>
  <c r="P57" i="1"/>
  <c r="P58" i="1"/>
  <c r="P48" i="1"/>
  <c r="P21" i="1"/>
  <c r="P41" i="1"/>
  <c r="P10" i="1"/>
  <c r="N31" i="1"/>
  <c r="N34" i="1"/>
  <c r="K83" i="1"/>
  <c r="M83" i="1"/>
  <c r="L83" i="1"/>
  <c r="K76" i="1"/>
  <c r="L76" i="1"/>
  <c r="M76" i="1"/>
  <c r="K74" i="1"/>
  <c r="L74" i="1"/>
  <c r="M74" i="1"/>
  <c r="M70" i="1"/>
  <c r="L70" i="1"/>
  <c r="F77" i="1"/>
  <c r="K72" i="1"/>
  <c r="L5" i="1" s="1"/>
  <c r="M72" i="1"/>
  <c r="P5" i="1" s="1"/>
  <c r="L72" i="1"/>
  <c r="N5" i="1" s="1"/>
  <c r="F86" i="1"/>
  <c r="F85" i="1"/>
  <c r="F87" i="1"/>
  <c r="F75" i="1"/>
  <c r="G89" i="1"/>
  <c r="K70" i="1"/>
  <c r="F72" i="1"/>
  <c r="F73" i="1"/>
  <c r="F88" i="1"/>
  <c r="F84" i="1"/>
  <c r="F71" i="1"/>
  <c r="F81" i="1"/>
  <c r="F76" i="1"/>
  <c r="F83" i="1"/>
  <c r="F74" i="1"/>
  <c r="F79" i="1"/>
  <c r="F80" i="1"/>
  <c r="F70" i="1"/>
  <c r="F82" i="1"/>
  <c r="F78" i="1"/>
  <c r="L27" i="1" l="1"/>
  <c r="L12" i="1"/>
  <c r="L32" i="1"/>
  <c r="L56" i="1"/>
  <c r="L28" i="1"/>
  <c r="L16" i="1"/>
  <c r="L39" i="1"/>
  <c r="L8" i="1"/>
  <c r="L25" i="1"/>
  <c r="L9" i="1"/>
  <c r="L35" i="1"/>
  <c r="L38" i="1"/>
  <c r="L54" i="1"/>
  <c r="L7" i="1"/>
  <c r="L14" i="1"/>
  <c r="L17" i="1"/>
  <c r="L19" i="1"/>
  <c r="L20" i="1"/>
  <c r="L30" i="1"/>
  <c r="L24" i="1"/>
  <c r="L26" i="1"/>
  <c r="L59" i="1"/>
  <c r="L43" i="1"/>
  <c r="L50" i="1"/>
  <c r="N26" i="1"/>
  <c r="N30" i="1"/>
  <c r="N59" i="1"/>
  <c r="N20" i="1"/>
  <c r="N24" i="1"/>
  <c r="N14" i="1"/>
  <c r="N54" i="1"/>
  <c r="N7" i="1"/>
  <c r="N9" i="1"/>
  <c r="N25" i="1"/>
  <c r="N17" i="1"/>
  <c r="N19" i="1"/>
  <c r="N35" i="1"/>
  <c r="N38" i="1"/>
  <c r="N39" i="1"/>
  <c r="N8" i="1"/>
  <c r="P20" i="1"/>
  <c r="P24" i="1"/>
  <c r="P26" i="1"/>
  <c r="P59" i="1"/>
  <c r="P30" i="1"/>
  <c r="N43" i="1"/>
  <c r="N50" i="1"/>
  <c r="P19" i="1"/>
  <c r="P35" i="1"/>
  <c r="P17" i="1"/>
  <c r="P38" i="1"/>
  <c r="P54" i="1"/>
  <c r="P14" i="1"/>
  <c r="P7" i="1"/>
  <c r="P39" i="1"/>
  <c r="P8" i="1"/>
  <c r="P9" i="1"/>
  <c r="P25" i="1"/>
  <c r="N27" i="1"/>
  <c r="N16" i="1"/>
  <c r="N32" i="1"/>
  <c r="N12" i="1"/>
  <c r="N28" i="1"/>
  <c r="N56" i="1"/>
  <c r="P50" i="1"/>
  <c r="P43" i="1"/>
  <c r="P16" i="1"/>
  <c r="P32" i="1"/>
  <c r="P28" i="1"/>
  <c r="P56" i="1"/>
  <c r="P27" i="1"/>
  <c r="P12" i="1"/>
  <c r="K65" i="1" l="1"/>
  <c r="O65" i="1"/>
  <c r="P65" i="1" s="1"/>
  <c r="M65" i="1"/>
  <c r="N65" i="1" s="1"/>
  <c r="AK65" i="1"/>
  <c r="AL65" i="1" s="1"/>
  <c r="AM65" i="1"/>
  <c r="AN65" i="1" s="1"/>
  <c r="AO65" i="1"/>
  <c r="AP65" i="1" s="1"/>
</calcChain>
</file>

<file path=xl/sharedStrings.xml><?xml version="1.0" encoding="utf-8"?>
<sst xmlns="http://schemas.openxmlformats.org/spreadsheetml/2006/main" count="733" uniqueCount="311">
  <si>
    <t>BY OUTLET NAME</t>
  </si>
  <si>
    <t>GROWTH</t>
  </si>
  <si>
    <t>RANK 2025</t>
  </si>
  <si>
    <t>CUSTNAME_DIST</t>
  </si>
  <si>
    <t>CUSTNO_DIST</t>
  </si>
  <si>
    <t>TOTAL FY 2025</t>
  </si>
  <si>
    <t>RANK 2024</t>
  </si>
  <si>
    <t>FY 25 VS FY 24</t>
  </si>
  <si>
    <t>PT.INTI CAKRAWALA CITRA</t>
  </si>
  <si>
    <t>MTA00101-10100021</t>
  </si>
  <si>
    <t>PT.SUMBER ALFARIA TRIJAYA</t>
  </si>
  <si>
    <t>MTA00101-10100050</t>
  </si>
  <si>
    <t>SPM.NEW VICTORIA AVIARI</t>
  </si>
  <si>
    <t>MTA00101-10100022</t>
  </si>
  <si>
    <t>PT.TOP SERATUS SEJATI GRAND BATAM MALL</t>
  </si>
  <si>
    <t>MTA00101-10100047</t>
  </si>
  <si>
    <t>PT.TOP SERATUS SEJATI TEMBESI</t>
  </si>
  <si>
    <t>MTA00101-10100031</t>
  </si>
  <si>
    <t>PT.TOP SERATUS SEJATI TANJUNG UNCANG</t>
  </si>
  <si>
    <t>MTA00101-10100048</t>
  </si>
  <si>
    <t>MM.VICTORIA FANINDO</t>
  </si>
  <si>
    <t>MTA00101-10100034</t>
  </si>
  <si>
    <t>PT.JODOH CENTRE BALOI</t>
  </si>
  <si>
    <t>MTA00101-10100032</t>
  </si>
  <si>
    <t>SUPERMARKET GOGO SERAYA</t>
  </si>
  <si>
    <t>MTA00101-10100045</t>
  </si>
  <si>
    <t>PT.KURNIAPHILEO SELARAS  DC MALL</t>
  </si>
  <si>
    <t>MTA00101-10100026</t>
  </si>
  <si>
    <t>MM.NEW VICTORIA</t>
  </si>
  <si>
    <t>MTA00101-10100046</t>
  </si>
  <si>
    <t>SUPERMARKET GOGO GOLDEN CITY</t>
  </si>
  <si>
    <t>MTA00101-10100019</t>
  </si>
  <si>
    <t>PT.TOP SERATUS SEJATI NIAGA MAS</t>
  </si>
  <si>
    <t>MTA00101-10100029</t>
  </si>
  <si>
    <t>PT.TOP SERATUS SEJATI GARDEN AVENUE</t>
  </si>
  <si>
    <t>MTA00101-10100064</t>
  </si>
  <si>
    <t>PT.ROYAL SUPERMARKET - DAPUR 12</t>
  </si>
  <si>
    <t>MTA00101-10100040</t>
  </si>
  <si>
    <t>PT.TOP SERATUS SEJATI BENGKONG</t>
  </si>
  <si>
    <t>MTA00101-10100033</t>
  </si>
  <si>
    <t>SPM.LOVE MARKET</t>
  </si>
  <si>
    <t>MTA00101-10100006</t>
  </si>
  <si>
    <t>PT.JODOH CENTRE ONE BATAM MALL</t>
  </si>
  <si>
    <t>MTA00101-10100010</t>
  </si>
  <si>
    <t>MM.GALAXY STAR</t>
  </si>
  <si>
    <t>MTA00101-10100039</t>
  </si>
  <si>
    <t>SUPERMARKET GOGO BOTANIA</t>
  </si>
  <si>
    <t>MTA00101-10100063</t>
  </si>
  <si>
    <t>TOKO BPS</t>
  </si>
  <si>
    <t>MTA00101-10100035</t>
  </si>
  <si>
    <t>MM.BPS NAGOYA</t>
  </si>
  <si>
    <t>MTA00101-10100044</t>
  </si>
  <si>
    <t>MM.VICTORIA TIBAN</t>
  </si>
  <si>
    <t>MTA00101-10100036</t>
  </si>
  <si>
    <t>PT.TOP SERATUS SEJATI TUNAS</t>
  </si>
  <si>
    <t>MTA00101-10100027</t>
  </si>
  <si>
    <t>MM.GLOBAL STAR LEGENDA</t>
  </si>
  <si>
    <t>MTA00101-10100004</t>
  </si>
  <si>
    <t>SUPERMARKET GOGO MARINA</t>
  </si>
  <si>
    <t>MTA00101-10100057</t>
  </si>
  <si>
    <t>CV.DUTA SEMBAKO MAKMUR</t>
  </si>
  <si>
    <t>MTA00101-10100062</t>
  </si>
  <si>
    <t>MM.GROS MART PIAYU</t>
  </si>
  <si>
    <t>MTA00101-10100014</t>
  </si>
  <si>
    <t>SUPERMARKET GOGO TIBAN</t>
  </si>
  <si>
    <t>MTA00101-10100051</t>
  </si>
  <si>
    <t>MM.LEMON MART</t>
  </si>
  <si>
    <t>MTA00101-10100015</t>
  </si>
  <si>
    <t>PT.TOP SERATUS SEJATI AVIARI</t>
  </si>
  <si>
    <t>MTA00101-10100038</t>
  </si>
  <si>
    <t>CV.CENTRAL ERA SUKSES</t>
  </si>
  <si>
    <t>MTA00101-10100011</t>
  </si>
  <si>
    <t>CV.SEMBAKO MUSTAFA LESTARI</t>
  </si>
  <si>
    <t>MTA00101-10100061</t>
  </si>
  <si>
    <t>PT.TOP SERATUS SEJATI TIBAN</t>
  </si>
  <si>
    <t>MTA00101-10100037</t>
  </si>
  <si>
    <t>PT.TOP SERATUS SEJATI ANGGREK MAS</t>
  </si>
  <si>
    <t>MTA00101-10100054</t>
  </si>
  <si>
    <t>SPM.GROS BOTANIA</t>
  </si>
  <si>
    <t>MTA00101-10100017</t>
  </si>
  <si>
    <t>PT.JODOH CENTRE BENGKONG</t>
  </si>
  <si>
    <t>MTA00101-10100043</t>
  </si>
  <si>
    <t>SPM.SUMBER HARAPAN</t>
  </si>
  <si>
    <t>MTA00101-10100020</t>
  </si>
  <si>
    <t>PT.ROYAL SUPERMARKET - MEGA LEGENDA</t>
  </si>
  <si>
    <t>MTA00101-10100005</t>
  </si>
  <si>
    <t>SPM.SUNLY SEI PANAS</t>
  </si>
  <si>
    <t>MTA00101-10100009</t>
  </si>
  <si>
    <t>PT.SENTOSA NIAGA LESTARI</t>
  </si>
  <si>
    <t>MTA00101-10100058</t>
  </si>
  <si>
    <t>PT.JODOH CENTRE JODOH</t>
  </si>
  <si>
    <t>MTA00101-10100030</t>
  </si>
  <si>
    <t>PT.ROYAL SUPERMARKET - BATU BESAR</t>
  </si>
  <si>
    <t>MTA00101-10100053</t>
  </si>
  <si>
    <t>MM.GROS MART PRIMA</t>
  </si>
  <si>
    <t>MTA00101-10100016</t>
  </si>
  <si>
    <t>SPM.PRIMART TIBAN</t>
  </si>
  <si>
    <t>MTA00101-10100023</t>
  </si>
  <si>
    <t>PT.ROYAL SUPERMARKET - CIPTA PURI</t>
  </si>
  <si>
    <t>MTA00101-10100025</t>
  </si>
  <si>
    <t>MM.GLOBAL SUN</t>
  </si>
  <si>
    <t>MTA00101-10100012</t>
  </si>
  <si>
    <t>PT.ROYAL SUPERMARKET - FANINDO</t>
  </si>
  <si>
    <t>MTA00101-10100041</t>
  </si>
  <si>
    <t>PT.ROYAL SUPERMARKET - PUNGGUR</t>
  </si>
  <si>
    <t>MTA00101-10100042</t>
  </si>
  <si>
    <t>PT.TOP SERATUS SEJATI NAGOYA</t>
  </si>
  <si>
    <t>MTA00101-10100028</t>
  </si>
  <si>
    <t>PT.ROYAL SUPERMARKET - KAMPUNG DURIAN</t>
  </si>
  <si>
    <t>MTA00101-10100013</t>
  </si>
  <si>
    <t>PT.ROYAL SUPERMARKET - PASIR PUTIH</t>
  </si>
  <si>
    <t>MTA00101-10100059</t>
  </si>
  <si>
    <t>MM.OHS MART</t>
  </si>
  <si>
    <t>MTA00101-10100056</t>
  </si>
  <si>
    <t>PT.ZERO TOTAL</t>
  </si>
  <si>
    <t>MTA00101-10100024</t>
  </si>
  <si>
    <t>MM.BPS BALOI BLOK 2</t>
  </si>
  <si>
    <t>MTA00101-10100052</t>
  </si>
  <si>
    <t>MM.YOSS MART</t>
  </si>
  <si>
    <t>MTA00101-10100055</t>
  </si>
  <si>
    <t>PT.RAMAYANA LESTARI SENTOSA. TBK</t>
  </si>
  <si>
    <t>MTA00101-10100008</t>
  </si>
  <si>
    <t>PT.ROYAL MINIMARKET - TIBAN PALAPA</t>
  </si>
  <si>
    <t>MTA00101-10100007</t>
  </si>
  <si>
    <t>PT.INDOMARCO PRISMATAMA</t>
  </si>
  <si>
    <t>MTA00101-10100049</t>
  </si>
  <si>
    <t>MM.ASEN</t>
  </si>
  <si>
    <t>MTA00101-10100060</t>
  </si>
  <si>
    <t>SUPERMARKET GOGO K-SQUARE</t>
  </si>
  <si>
    <t>MTA00101-10100066</t>
  </si>
  <si>
    <t>BY GROUP NAME</t>
  </si>
  <si>
    <t>CUSTOMER GROUP NAME</t>
  </si>
  <si>
    <t>CONTR</t>
  </si>
  <si>
    <t>KL-TOP 100</t>
  </si>
  <si>
    <t>KA-INDOGROSIR</t>
  </si>
  <si>
    <t>KA-ALFAMART</t>
  </si>
  <si>
    <t>KL-VICTORIA</t>
  </si>
  <si>
    <t>KL-GOGO</t>
  </si>
  <si>
    <t>KL-JODOH</t>
  </si>
  <si>
    <t>KL-STAR</t>
  </si>
  <si>
    <t>KL-INDAH</t>
  </si>
  <si>
    <t>KL-GROS</t>
  </si>
  <si>
    <t>KA-DIAMOND</t>
  </si>
  <si>
    <t>KL-HALIMAH</t>
  </si>
  <si>
    <t>KL-LOVE</t>
  </si>
  <si>
    <t>KL-SUMBER HARAPAN</t>
  </si>
  <si>
    <t>KL-SUNLY</t>
  </si>
  <si>
    <t>KL-</t>
  </si>
  <si>
    <t>KL-BENGKONG</t>
  </si>
  <si>
    <t>KL-YOSS</t>
  </si>
  <si>
    <t>KA-RAMAYANA</t>
  </si>
  <si>
    <t>KA-INDOMARET</t>
  </si>
  <si>
    <t xml:space="preserve"> </t>
  </si>
  <si>
    <t>AVG FY 24</t>
  </si>
  <si>
    <t>AVG FY 25</t>
  </si>
  <si>
    <t>PARETO SKU 2025</t>
  </si>
  <si>
    <t>PARETO SKU JAN 2026</t>
  </si>
  <si>
    <t>CUST-GROUP</t>
  </si>
  <si>
    <t>PARETO SKU FEB 2026</t>
  </si>
  <si>
    <t>JAN 25 VS AVG 2025</t>
  </si>
  <si>
    <t>Sum of amount</t>
  </si>
  <si>
    <t>Period</t>
  </si>
  <si>
    <t>TrxNote</t>
  </si>
  <si>
    <t>202601</t>
  </si>
  <si>
    <t>202602</t>
  </si>
  <si>
    <t>CustRegionDesc</t>
  </si>
  <si>
    <t>account_name</t>
  </si>
  <si>
    <t>OutletCode</t>
  </si>
  <si>
    <t>ShipName/OutletName</t>
  </si>
  <si>
    <t>CustGroupDesc</t>
  </si>
  <si>
    <t>STM</t>
  </si>
  <si>
    <t>REGION 1-6.3</t>
  </si>
  <si>
    <t>Artha Jaya Semesta. PT</t>
  </si>
  <si>
    <t>CV.SINAR SUKSES RITELINDO</t>
  </si>
  <si>
    <t>PT.JODOH CENTRE</t>
  </si>
  <si>
    <t>SUPERMARKET GOGO</t>
  </si>
  <si>
    <t>PT.TOP SERATUS SEJATI</t>
  </si>
  <si>
    <t>CV.VICTORIA FANINDO</t>
  </si>
  <si>
    <t>PT.PANCAR GALAXY SEJAHTERA</t>
  </si>
  <si>
    <t>PT.ROYAL SUPERMARKET - PUTRI HIJAU</t>
  </si>
  <si>
    <t>Artha Jaya Semesta. PT Total</t>
  </si>
  <si>
    <t>FEB 25 VS AVG 2025</t>
  </si>
  <si>
    <t>(-) PARETO SKU 2025</t>
  </si>
  <si>
    <t>(-) PARETO SKU JAN 2026</t>
  </si>
  <si>
    <t>(-) PARETO SKU FEB 2026</t>
  </si>
  <si>
    <t>GROWTH  BY GROUP JAN 26</t>
  </si>
  <si>
    <t>GROWTH  BY GROUP FEB 26</t>
  </si>
  <si>
    <t>GROWTH JAN 26</t>
  </si>
  <si>
    <t>GROWTH FEB 26</t>
  </si>
  <si>
    <t>AJS BATAM</t>
  </si>
  <si>
    <t>DISTRIBUTOR</t>
  </si>
  <si>
    <t>ALL</t>
  </si>
  <si>
    <t>PT ARTHA JAYA SEMESTA</t>
  </si>
  <si>
    <t>GROWTH MAR 26</t>
  </si>
  <si>
    <t>GROWTH  BY GROUP MAR 26</t>
  </si>
  <si>
    <t>GROWTH APR 26</t>
  </si>
  <si>
    <t>GROWTH  BY GROUP APR 26</t>
  </si>
  <si>
    <t>GROWTH MAY 26</t>
  </si>
  <si>
    <t>GROWTH  BY GROUP MAY 26</t>
  </si>
  <si>
    <t>GROWTH JUN 26</t>
  </si>
  <si>
    <t>GROWTH  BY GROUP JUN 26</t>
  </si>
  <si>
    <t>GROWTH JUL 26</t>
  </si>
  <si>
    <t>GROWTH  BY GROUP JUL 26</t>
  </si>
  <si>
    <t>GROWTH AUG 26</t>
  </si>
  <si>
    <t>GROWTH SEP 26</t>
  </si>
  <si>
    <t>GROWTH  BY GROUP SEP 26</t>
  </si>
  <si>
    <t>GROWTH  BY GROUP AUG 26</t>
  </si>
  <si>
    <t>GROWTH OCT 26</t>
  </si>
  <si>
    <t>GROWTH  BY GROUP OCT 26</t>
  </si>
  <si>
    <t>GROWTH NOV 26</t>
  </si>
  <si>
    <t>GROWTH  BY GROUP NOV 26</t>
  </si>
  <si>
    <t>GROWTH DEC 26</t>
  </si>
  <si>
    <t>GROWTH  BY GROUP DEC 26</t>
  </si>
  <si>
    <t>PARETO SKU MAR 2026</t>
  </si>
  <si>
    <t>(-) PARETO SKU MAR 2026</t>
  </si>
  <si>
    <t>PARETO SKU APR 2026</t>
  </si>
  <si>
    <t>(-) PARETO SKU APR 2026</t>
  </si>
  <si>
    <t>PARETO SKU MAY 2026</t>
  </si>
  <si>
    <t>(-) PARETO SKU MAY 2026</t>
  </si>
  <si>
    <t>PARETO SKU JUN 2026</t>
  </si>
  <si>
    <t>(-) PARETO SKU JUN 2026</t>
  </si>
  <si>
    <t>PARETO SKU JUL 2026</t>
  </si>
  <si>
    <t>(-) PARETO SKU JUL 2026</t>
  </si>
  <si>
    <t>PARETO SKU AUG 2026</t>
  </si>
  <si>
    <t>(-) PARETO SKU AUG 2026</t>
  </si>
  <si>
    <t>PARETO SKU SEP 2026</t>
  </si>
  <si>
    <t>(-) PARETO SKU SEP 2026</t>
  </si>
  <si>
    <t>PARETO SKU OCT 2026</t>
  </si>
  <si>
    <t>(-) PARETO SKU OCT 2026</t>
  </si>
  <si>
    <t>PARETO SKU NOV 2026</t>
  </si>
  <si>
    <t>(-) PARETO SKU NOV 2026</t>
  </si>
  <si>
    <t>PARETO SKU DEC 2026</t>
  </si>
  <si>
    <t>(-) PARETO SKU DEC 2026</t>
  </si>
  <si>
    <t>RANK 2026</t>
  </si>
  <si>
    <t>SUM</t>
  </si>
  <si>
    <t>AVG JAN - FEB</t>
  </si>
  <si>
    <t>CEK RANK 2026</t>
  </si>
  <si>
    <t>GROWTH FY 25 BY GROUP</t>
  </si>
  <si>
    <t>custname_DIST</t>
  </si>
  <si>
    <t>Grand Total</t>
  </si>
  <si>
    <t>MTB159</t>
  </si>
  <si>
    <t>MTB234</t>
  </si>
  <si>
    <t>MTB249</t>
  </si>
  <si>
    <t>MTB633</t>
  </si>
  <si>
    <t>ID PELANGAN LAMA</t>
  </si>
  <si>
    <t>(All)</t>
  </si>
  <si>
    <t>GRAND TOTAL</t>
  </si>
  <si>
    <t>BODY LOTION 2025</t>
  </si>
  <si>
    <t>BODY MIST 2025</t>
  </si>
  <si>
    <t>EMULSION 2025</t>
  </si>
  <si>
    <t>ESSENCE 2025</t>
  </si>
  <si>
    <t>EXFOLIATING GEL 2025</t>
  </si>
  <si>
    <t>FACIAL WASH 2025</t>
  </si>
  <si>
    <t>MOISTURIZER 2025</t>
  </si>
  <si>
    <t>PERFUME 2025</t>
  </si>
  <si>
    <t>SABUN CAIR 2025</t>
  </si>
  <si>
    <t>SABUN MANDI (144) 2025</t>
  </si>
  <si>
    <t>SABUN MANDI (72) 2025</t>
  </si>
  <si>
    <t>SABUN MANDI (96) 2025</t>
  </si>
  <si>
    <t>SABUN SCRUB 2025</t>
  </si>
  <si>
    <t>SERUM 2025</t>
  </si>
  <si>
    <t>SUNSCREEN 2025</t>
  </si>
  <si>
    <t>Grand Total 2025</t>
  </si>
  <si>
    <t>BODY LOTION 2024</t>
  </si>
  <si>
    <t>BODY MIST 2024</t>
  </si>
  <si>
    <t>EMULSION 2024</t>
  </si>
  <si>
    <t>ESSENCE 2024</t>
  </si>
  <si>
    <t>EXFOLIATING GEL 2024</t>
  </si>
  <si>
    <t>FACIAL WASH 2024</t>
  </si>
  <si>
    <t>MOISTURIZER 2024</t>
  </si>
  <si>
    <t>PERFUME 2024</t>
  </si>
  <si>
    <t>SABUN CAIR 2024</t>
  </si>
  <si>
    <t>SABUN MANDI (144) 2024</t>
  </si>
  <si>
    <t>SABUN MANDI (72) 2024</t>
  </si>
  <si>
    <t>SABUN MANDI (96) 2024</t>
  </si>
  <si>
    <t>SABUN SCRUB 2024</t>
  </si>
  <si>
    <t>SERUM 2024</t>
  </si>
  <si>
    <t>SUNSCREEN 2024</t>
  </si>
  <si>
    <t>Grand Total 2024</t>
  </si>
  <si>
    <t>GROWTH BODY LOTION</t>
  </si>
  <si>
    <t>GROWTH BODY MIST</t>
  </si>
  <si>
    <t>GROWTH EMULSION</t>
  </si>
  <si>
    <t>GROWTH ESSENCE</t>
  </si>
  <si>
    <t>GROWTH EXFOLIATING GEL</t>
  </si>
  <si>
    <t>GROWTH FACIAL WASH</t>
  </si>
  <si>
    <t>GROWTH MOISTURIZER</t>
  </si>
  <si>
    <t>GROWTH PERFUME</t>
  </si>
  <si>
    <t>GROWTH SABUN CAIR</t>
  </si>
  <si>
    <t>GROWTH SABUN MANDI (144)</t>
  </si>
  <si>
    <t>GROWTH SABUN MANDI (72)</t>
  </si>
  <si>
    <t>GROWTH SABUN MANDI (96)</t>
  </si>
  <si>
    <t>GROWTH SABUN SCRUB</t>
  </si>
  <si>
    <t>GROWTH SERUM</t>
  </si>
  <si>
    <t>GROWTH SUNSCREEN</t>
  </si>
  <si>
    <t>GROWTH Grand Total</t>
  </si>
  <si>
    <t>Sum of BODY LOTION 2025</t>
  </si>
  <si>
    <t>Sum of SABUN CAIR 2025</t>
  </si>
  <si>
    <t>Sum of SABUN SCRUB 2025</t>
  </si>
  <si>
    <t>Sum of Grand Total 2025</t>
  </si>
  <si>
    <t>Sum of BODY LOTION 2024</t>
  </si>
  <si>
    <t>Sum of SABUN CAIR 2024</t>
  </si>
  <si>
    <t>Sum of SABUN SCRUB 2024</t>
  </si>
  <si>
    <t>Sum of Grand Total 2024</t>
  </si>
  <si>
    <t>Sum of GROWTH BODY LOTION</t>
  </si>
  <si>
    <t>Sum of GROWTH SABUN CAIR</t>
  </si>
  <si>
    <t>Sum of GROWTH SABUN SCRUB</t>
  </si>
  <si>
    <t>Sum of GROWTH Grand Total</t>
  </si>
  <si>
    <t>Values</t>
  </si>
  <si>
    <t>GROWTH 2025 VS 2024</t>
  </si>
  <si>
    <t>AVG JAN - FEB 2026</t>
  </si>
  <si>
    <t>BUSINESS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</si>
</sst>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00_);_(* \(#,##0.00\);_(* &quot;-&quot;??_);_(@_)"/>
    <numFmt numFmtId="165" formatCode="_(* #,##0_);_(* \(#,##0\);_(* &quot;-&quot;??_);_(@_)"/>
    <numFmt numFmtId="166" formatCode="_-* #,##0_-;\-* #,##0_-;_-* &quot;-&quot;??_-;_-@_-"/>
  </numFmts>
  <fonts count="28" x14ac:knownFonts="1">
    <font>
      <sz val="11"/>
      <color theme="1"/>
      <name val="Calibri"/>
      <family val="2"/>
      <scheme val="minor"/>
    </font>
    <font>
      <sz val="11"/>
      <color theme="1"/>
      <name val="Calibri"/>
      <family val="2"/>
      <scheme val="minor"/>
    </font>
    <font>
      <b/>
      <sz val="24"/>
      <color rgb="FFFF0000"/>
      <name val="Calibri"/>
      <family val="2"/>
      <scheme val="minor"/>
    </font>
    <font>
      <sz val="12"/>
      <color theme="0" tint="-0.34998626667073579"/>
      <name val="Calibri"/>
      <family val="2"/>
      <scheme val="minor"/>
    </font>
    <font>
      <b/>
      <sz val="18"/>
      <color theme="1"/>
      <name val="Calibri"/>
      <family val="2"/>
      <scheme val="minor"/>
    </font>
    <font>
      <b/>
      <sz val="18"/>
      <name val="Calibri"/>
      <family val="2"/>
      <scheme val="minor"/>
    </font>
    <font>
      <sz val="11"/>
      <color rgb="FF000000"/>
      <name val="Calibri"/>
      <family val="2"/>
      <scheme val="minor"/>
    </font>
    <font>
      <b/>
      <sz val="11"/>
      <color theme="1" tint="0.499984740745262"/>
      <name val="Calibri"/>
      <family val="2"/>
      <scheme val="minor"/>
    </font>
    <font>
      <b/>
      <sz val="18"/>
      <color theme="0"/>
      <name val="Calibri"/>
      <family val="2"/>
      <scheme val="minor"/>
    </font>
    <font>
      <b/>
      <sz val="18"/>
      <color theme="4"/>
      <name val="Calibri"/>
      <family val="2"/>
      <scheme val="minor"/>
    </font>
    <font>
      <b/>
      <sz val="18"/>
      <color rgb="FF0070C0"/>
      <name val="Calibri"/>
      <family val="2"/>
      <scheme val="minor"/>
    </font>
    <font>
      <b/>
      <sz val="14"/>
      <color theme="1"/>
      <name val="Calibri"/>
      <family val="2"/>
      <scheme val="minor"/>
    </font>
    <font>
      <sz val="12"/>
      <color rgb="FFFF0000"/>
      <name val="Calibri"/>
      <family val="2"/>
      <scheme val="minor"/>
    </font>
    <font>
      <b/>
      <sz val="11"/>
      <color rgb="FFFF0000"/>
      <name val="Calibri"/>
      <family val="2"/>
      <scheme val="minor"/>
    </font>
    <font>
      <b/>
      <sz val="9"/>
      <color theme="1"/>
      <name val="Calibri"/>
      <family val="2"/>
      <scheme val="minor"/>
    </font>
    <font>
      <sz val="9"/>
      <color theme="1"/>
      <name val="Calibri"/>
      <family val="2"/>
      <scheme val="minor"/>
    </font>
    <font>
      <sz val="8"/>
      <name val="Calibri"/>
      <family val="2"/>
      <scheme val="minor"/>
    </font>
    <font>
      <b/>
      <sz val="14"/>
      <name val="Calibri"/>
      <family val="2"/>
      <scheme val="minor"/>
    </font>
    <font>
      <b/>
      <sz val="11"/>
      <name val="Calibri"/>
      <family val="2"/>
      <scheme val="minor"/>
    </font>
    <font>
      <sz val="14"/>
      <color theme="1"/>
      <name val="Calibri"/>
      <family val="2"/>
      <scheme val="minor"/>
    </font>
    <font>
      <b/>
      <sz val="11"/>
      <color rgb="FFFFFF00"/>
      <name val="Calibri"/>
      <family val="2"/>
      <scheme val="minor"/>
    </font>
    <font>
      <b/>
      <sz val="11"/>
      <color theme="0"/>
      <name val="Calibri"/>
      <family val="2"/>
      <scheme val="minor"/>
    </font>
    <font>
      <b/>
      <sz val="11"/>
      <color theme="1"/>
      <name val="Calibri"/>
      <family val="2"/>
      <scheme val="minor"/>
    </font>
    <font>
      <b/>
      <sz val="24"/>
      <color theme="0"/>
      <name val="Calibri"/>
      <family val="2"/>
      <scheme val="minor"/>
    </font>
    <font>
      <b/>
      <sz val="18"/>
      <color rgb="FF00B050"/>
      <name val="Calibri"/>
      <family val="2"/>
      <scheme val="minor"/>
    </font>
    <font>
      <b/>
      <sz val="18"/>
      <color theme="1" tint="0.34998626667073579"/>
      <name val="Calibri"/>
      <family val="2"/>
      <scheme val="minor"/>
    </font>
    <font>
      <b/>
      <sz val="14"/>
      <color theme="1" tint="0.34998626667073579"/>
      <name val="Calibri"/>
      <family val="2"/>
      <scheme val="minor"/>
    </font>
    <font>
      <b/>
      <sz val="22"/>
      <color rgb="FF00B05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79998168889431442"/>
        <bgColor theme="4" tint="0.79998168889431442"/>
      </patternFill>
    </fill>
    <fill>
      <patternFill patternType="solid">
        <fgColor theme="5"/>
        <bgColor theme="5"/>
      </patternFill>
    </fill>
    <fill>
      <patternFill patternType="solid">
        <fgColor rgb="FFC00000"/>
        <bgColor indexed="64"/>
      </patternFill>
    </fill>
    <fill>
      <patternFill patternType="solid">
        <fgColor theme="0" tint="-4.9989318521683403E-2"/>
        <bgColor indexed="64"/>
      </patternFill>
    </fill>
  </fills>
  <borders count="23">
    <border>
      <left/>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bottom style="thin">
        <color theme="4" tint="0.39997558519241921"/>
      </bottom>
      <diagonal/>
    </border>
    <border>
      <left style="medium">
        <color indexed="64"/>
      </left>
      <right/>
      <top/>
      <bottom/>
      <diagonal/>
    </border>
    <border>
      <left style="slantDashDot">
        <color theme="0" tint="-0.499984740745262"/>
      </left>
      <right style="slantDashDot">
        <color theme="0" tint="-0.499984740745262"/>
      </right>
      <top style="slantDashDot">
        <color theme="0" tint="-0.499984740745262"/>
      </top>
      <bottom style="slantDashDot">
        <color theme="0" tint="-0.499984740745262"/>
      </bottom>
      <diagonal/>
    </border>
    <border>
      <left/>
      <right style="slantDashDot">
        <color theme="0" tint="-0.499984740745262"/>
      </right>
      <top/>
      <bottom style="slantDashDot">
        <color theme="0" tint="-0.499984740745262"/>
      </bottom>
      <diagonal/>
    </border>
    <border>
      <left style="slantDashDot">
        <color theme="0" tint="-0.499984740745262"/>
      </left>
      <right style="slantDashDot">
        <color theme="0" tint="-0.499984740745262"/>
      </right>
      <top/>
      <bottom style="slantDashDot">
        <color theme="0" tint="-0.499984740745262"/>
      </bottom>
      <diagonal/>
    </border>
    <border>
      <left style="slantDashDot">
        <color theme="0" tint="-0.499984740745262"/>
      </left>
      <right/>
      <top/>
      <bottom style="slantDashDot">
        <color theme="0" tint="-0.499984740745262"/>
      </bottom>
      <diagonal/>
    </border>
    <border>
      <left/>
      <right style="slantDashDot">
        <color theme="0" tint="-0.499984740745262"/>
      </right>
      <top style="slantDashDot">
        <color theme="0" tint="-0.499984740745262"/>
      </top>
      <bottom style="slantDashDot">
        <color theme="0" tint="-0.499984740745262"/>
      </bottom>
      <diagonal/>
    </border>
    <border>
      <left style="slantDashDot">
        <color theme="0" tint="-0.499984740745262"/>
      </left>
      <right/>
      <top style="slantDashDot">
        <color theme="0" tint="-0.499984740745262"/>
      </top>
      <bottom style="slantDashDot">
        <color theme="0" tint="-0.499984740745262"/>
      </bottom>
      <diagonal/>
    </border>
    <border>
      <left/>
      <right style="slantDashDot">
        <color theme="0" tint="-0.499984740745262"/>
      </right>
      <top style="slantDashDot">
        <color theme="0" tint="-0.499984740745262"/>
      </top>
      <bottom/>
      <diagonal/>
    </border>
    <border>
      <left style="slantDashDot">
        <color theme="0" tint="-0.499984740745262"/>
      </left>
      <right style="slantDashDot">
        <color theme="0" tint="-0.499984740745262"/>
      </right>
      <top style="slantDashDot">
        <color theme="0" tint="-0.499984740745262"/>
      </top>
      <bottom/>
      <diagonal/>
    </border>
    <border>
      <left style="slantDashDot">
        <color theme="0" tint="-0.499984740745262"/>
      </left>
      <right/>
      <top style="slantDashDot">
        <color theme="0" tint="-0.499984740745262"/>
      </top>
      <bottom/>
      <diagonal/>
    </border>
    <border>
      <left style="thin">
        <color indexed="64"/>
      </left>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s>
  <cellStyleXfs count="6">
    <xf numFmtId="0" fontId="0" fillId="0" borderId="0"/>
    <xf numFmtId="43" fontId="6" fillId="0" borderId="0" applyFont="0" applyFill="0" applyBorder="0" applyAlignment="0" applyProtection="0"/>
    <xf numFmtId="9" fontId="6"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cellStyleXfs>
  <cellXfs count="134">
    <xf numFmtId="0" fontId="0" fillId="0" borderId="0" xfId="0"/>
    <xf numFmtId="0" fontId="1" fillId="0" borderId="0" xfId="3"/>
    <xf numFmtId="0" fontId="2" fillId="0" borderId="0" xfId="3" applyFont="1"/>
    <xf numFmtId="0" fontId="1" fillId="2" borderId="0" xfId="3" applyFill="1"/>
    <xf numFmtId="0" fontId="3" fillId="0" borderId="0" xfId="3" applyFont="1"/>
    <xf numFmtId="0" fontId="1" fillId="0" borderId="0" xfId="3" applyAlignment="1">
      <alignment horizontal="center" vertical="center"/>
    </xf>
    <xf numFmtId="0" fontId="1" fillId="0" borderId="0" xfId="3" applyAlignment="1">
      <alignment wrapText="1"/>
    </xf>
    <xf numFmtId="0" fontId="1" fillId="0" borderId="0" xfId="3" applyAlignment="1">
      <alignment horizontal="center" vertical="center" wrapText="1"/>
    </xf>
    <xf numFmtId="0" fontId="3" fillId="0" borderId="0" xfId="3" applyFont="1" applyAlignment="1">
      <alignment horizontal="center" vertical="center" wrapText="1"/>
    </xf>
    <xf numFmtId="166" fontId="1" fillId="0" borderId="0" xfId="1" applyNumberFormat="1" applyFont="1"/>
    <xf numFmtId="165" fontId="11" fillId="3" borderId="3" xfId="4" applyNumberFormat="1" applyFont="1" applyFill="1" applyBorder="1"/>
    <xf numFmtId="166" fontId="7" fillId="0" borderId="0" xfId="1" applyNumberFormat="1" applyFont="1"/>
    <xf numFmtId="0" fontId="4" fillId="3" borderId="0" xfId="3" applyFont="1" applyFill="1" applyAlignment="1">
      <alignment horizontal="center" vertical="center"/>
    </xf>
    <xf numFmtId="10" fontId="11" fillId="0" borderId="0" xfId="5" applyNumberFormat="1" applyFont="1" applyBorder="1"/>
    <xf numFmtId="166" fontId="11" fillId="0" borderId="0" xfId="1" applyNumberFormat="1" applyFont="1" applyBorder="1"/>
    <xf numFmtId="0" fontId="4" fillId="3" borderId="0" xfId="3" applyFont="1" applyFill="1" applyAlignment="1">
      <alignment horizontal="center" vertical="center" wrapText="1"/>
    </xf>
    <xf numFmtId="0" fontId="14" fillId="5" borderId="0" xfId="0" applyFont="1" applyFill="1"/>
    <xf numFmtId="166" fontId="14" fillId="5" borderId="0" xfId="0" applyNumberFormat="1" applyFont="1" applyFill="1"/>
    <xf numFmtId="0" fontId="14" fillId="5" borderId="4" xfId="0" applyFont="1" applyFill="1" applyBorder="1"/>
    <xf numFmtId="166" fontId="14" fillId="5" borderId="4" xfId="0" applyNumberFormat="1" applyFont="1" applyFill="1" applyBorder="1"/>
    <xf numFmtId="0" fontId="14" fillId="0" borderId="0" xfId="0" applyFont="1"/>
    <xf numFmtId="0" fontId="15" fillId="0" borderId="0" xfId="0" applyFont="1"/>
    <xf numFmtId="166" fontId="15" fillId="0" borderId="0" xfId="0" applyNumberFormat="1" applyFont="1"/>
    <xf numFmtId="0" fontId="14" fillId="0" borderId="4" xfId="0" applyFont="1" applyBorder="1"/>
    <xf numFmtId="166" fontId="14" fillId="0" borderId="0" xfId="0" applyNumberFormat="1" applyFont="1"/>
    <xf numFmtId="9" fontId="11" fillId="0" borderId="0" xfId="2" applyFont="1" applyBorder="1"/>
    <xf numFmtId="165" fontId="5" fillId="0" borderId="6" xfId="4" applyNumberFormat="1" applyFont="1" applyFill="1" applyBorder="1"/>
    <xf numFmtId="17" fontId="4" fillId="0" borderId="0" xfId="3" applyNumberFormat="1" applyFont="1" applyAlignment="1">
      <alignment horizontal="center" vertical="center"/>
    </xf>
    <xf numFmtId="0" fontId="4" fillId="0" borderId="0" xfId="3" applyFont="1" applyAlignment="1">
      <alignment horizontal="center" vertical="center"/>
    </xf>
    <xf numFmtId="0" fontId="3" fillId="0" borderId="0" xfId="3" applyFont="1" applyAlignment="1">
      <alignment horizontal="center" vertical="center"/>
    </xf>
    <xf numFmtId="1" fontId="18" fillId="0" borderId="6" xfId="5" applyNumberFormat="1" applyFont="1" applyFill="1" applyBorder="1"/>
    <xf numFmtId="1" fontId="18" fillId="0" borderId="11" xfId="5" applyNumberFormat="1" applyFont="1" applyFill="1" applyBorder="1"/>
    <xf numFmtId="165" fontId="18" fillId="0" borderId="6" xfId="4" applyNumberFormat="1" applyFont="1" applyFill="1" applyBorder="1"/>
    <xf numFmtId="166" fontId="12" fillId="0" borderId="0" xfId="1" applyNumberFormat="1" applyFont="1" applyFill="1"/>
    <xf numFmtId="9" fontId="18" fillId="0" borderId="6" xfId="5" applyFont="1" applyFill="1" applyBorder="1"/>
    <xf numFmtId="0" fontId="17" fillId="0" borderId="12" xfId="3" applyFont="1" applyBorder="1" applyAlignment="1">
      <alignment horizontal="center" vertical="center"/>
    </xf>
    <xf numFmtId="0" fontId="17" fillId="0" borderId="13" xfId="3" applyFont="1" applyBorder="1" applyAlignment="1">
      <alignment horizontal="center" vertical="center"/>
    </xf>
    <xf numFmtId="0" fontId="19" fillId="0" borderId="0" xfId="3" applyFont="1" applyAlignment="1">
      <alignment horizontal="center" vertical="center"/>
    </xf>
    <xf numFmtId="165" fontId="17" fillId="0" borderId="13" xfId="4" applyNumberFormat="1" applyFont="1" applyFill="1" applyBorder="1" applyAlignment="1">
      <alignment horizontal="center" vertical="center"/>
    </xf>
    <xf numFmtId="9" fontId="17" fillId="0" borderId="13" xfId="5" applyFont="1" applyFill="1" applyBorder="1" applyAlignment="1">
      <alignment horizontal="center" vertical="center"/>
    </xf>
    <xf numFmtId="1" fontId="17" fillId="0" borderId="13" xfId="5" applyNumberFormat="1" applyFont="1" applyFill="1" applyBorder="1" applyAlignment="1">
      <alignment horizontal="center" vertical="center"/>
    </xf>
    <xf numFmtId="1" fontId="17" fillId="0" borderId="14" xfId="5" applyNumberFormat="1" applyFont="1" applyFill="1" applyBorder="1" applyAlignment="1">
      <alignment horizontal="center" vertical="center"/>
    </xf>
    <xf numFmtId="0" fontId="8" fillId="6" borderId="7" xfId="3" applyFont="1" applyFill="1" applyBorder="1" applyAlignment="1">
      <alignment horizontal="center" vertical="center" wrapText="1"/>
    </xf>
    <xf numFmtId="0" fontId="8" fillId="6" borderId="8" xfId="3" applyFont="1" applyFill="1" applyBorder="1" applyAlignment="1">
      <alignment horizontal="center" vertical="center" wrapText="1"/>
    </xf>
    <xf numFmtId="0" fontId="8" fillId="6" borderId="9" xfId="3" applyFont="1" applyFill="1" applyBorder="1" applyAlignment="1">
      <alignment horizontal="center" vertical="center" wrapText="1"/>
    </xf>
    <xf numFmtId="0" fontId="17" fillId="0" borderId="10" xfId="3" applyFont="1" applyBorder="1"/>
    <xf numFmtId="0" fontId="17" fillId="0" borderId="6" xfId="3" applyFont="1" applyBorder="1"/>
    <xf numFmtId="0" fontId="18" fillId="0" borderId="6" xfId="3" applyFont="1" applyBorder="1"/>
    <xf numFmtId="9" fontId="18" fillId="0" borderId="6" xfId="2" applyFont="1" applyFill="1" applyBorder="1"/>
    <xf numFmtId="9" fontId="11" fillId="0" borderId="13" xfId="2" applyFont="1" applyFill="1" applyBorder="1" applyAlignment="1">
      <alignment horizontal="center" vertical="center"/>
    </xf>
    <xf numFmtId="166" fontId="0" fillId="0" borderId="0" xfId="0" applyNumberFormat="1"/>
    <xf numFmtId="166" fontId="0" fillId="0" borderId="0" xfId="1" applyNumberFormat="1" applyFont="1"/>
    <xf numFmtId="0" fontId="13" fillId="0" borderId="0" xfId="0" applyFont="1"/>
    <xf numFmtId="0" fontId="20" fillId="7" borderId="0" xfId="0" applyFont="1" applyFill="1"/>
    <xf numFmtId="166" fontId="5" fillId="0" borderId="6" xfId="1" applyNumberFormat="1" applyFont="1" applyFill="1" applyBorder="1"/>
    <xf numFmtId="0" fontId="8" fillId="4" borderId="5" xfId="3" applyFont="1" applyFill="1" applyBorder="1" applyAlignment="1">
      <alignment horizontal="center" vertical="center"/>
    </xf>
    <xf numFmtId="0" fontId="8" fillId="4" borderId="0" xfId="3" applyFont="1" applyFill="1" applyAlignment="1">
      <alignment horizontal="center" vertical="center"/>
    </xf>
    <xf numFmtId="0" fontId="22" fillId="5" borderId="0" xfId="0" applyFont="1" applyFill="1"/>
    <xf numFmtId="166" fontId="22" fillId="5" borderId="0" xfId="1" applyNumberFormat="1" applyFont="1" applyFill="1"/>
    <xf numFmtId="0" fontId="0" fillId="0" borderId="0" xfId="0" pivotButton="1"/>
    <xf numFmtId="0" fontId="22" fillId="5" borderId="0" xfId="1" applyNumberFormat="1" applyFont="1" applyFill="1"/>
    <xf numFmtId="0" fontId="21" fillId="0" borderId="7" xfId="0" applyFont="1" applyFill="1" applyBorder="1"/>
    <xf numFmtId="0" fontId="21" fillId="0" borderId="8" xfId="0" applyFont="1" applyFill="1" applyBorder="1"/>
    <xf numFmtId="166" fontId="21" fillId="0" borderId="8" xfId="1" applyNumberFormat="1" applyFont="1" applyFill="1" applyBorder="1"/>
    <xf numFmtId="166" fontId="21" fillId="0" borderId="9" xfId="1" applyNumberFormat="1" applyFont="1" applyFill="1" applyBorder="1"/>
    <xf numFmtId="0" fontId="22" fillId="0" borderId="10" xfId="0" applyFont="1" applyFill="1" applyBorder="1"/>
    <xf numFmtId="0" fontId="22" fillId="0" borderId="6" xfId="0" applyFont="1" applyFill="1" applyBorder="1"/>
    <xf numFmtId="0" fontId="0" fillId="0" borderId="6" xfId="0" applyFill="1" applyBorder="1"/>
    <xf numFmtId="166" fontId="0" fillId="0" borderId="6" xfId="1" applyNumberFormat="1" applyFont="1" applyFill="1" applyBorder="1"/>
    <xf numFmtId="9" fontId="0" fillId="0" borderId="6" xfId="2" applyFont="1" applyFill="1" applyBorder="1"/>
    <xf numFmtId="9" fontId="0" fillId="0" borderId="11" xfId="2" applyFont="1" applyFill="1" applyBorder="1"/>
    <xf numFmtId="0" fontId="22" fillId="0" borderId="12" xfId="0" applyFont="1" applyFill="1" applyBorder="1" applyAlignment="1">
      <alignment horizontal="center"/>
    </xf>
    <xf numFmtId="0" fontId="22" fillId="0" borderId="13" xfId="0" applyFont="1" applyFill="1" applyBorder="1" applyAlignment="1">
      <alignment horizontal="center"/>
    </xf>
    <xf numFmtId="166" fontId="22" fillId="0" borderId="13" xfId="1" applyNumberFormat="1" applyFont="1" applyFill="1" applyBorder="1" applyAlignment="1">
      <alignment horizontal="center"/>
    </xf>
    <xf numFmtId="9" fontId="22" fillId="0" borderId="13" xfId="2" applyFont="1" applyFill="1" applyBorder="1" applyAlignment="1">
      <alignment horizontal="center"/>
    </xf>
    <xf numFmtId="9" fontId="22" fillId="0" borderId="14" xfId="2" applyFont="1" applyFill="1" applyBorder="1" applyAlignment="1">
      <alignment horizontal="center"/>
    </xf>
    <xf numFmtId="9" fontId="0" fillId="0" borderId="0" xfId="0" applyNumberFormat="1"/>
    <xf numFmtId="0" fontId="0" fillId="2" borderId="0" xfId="0" applyFill="1"/>
    <xf numFmtId="0" fontId="23" fillId="3" borderId="15" xfId="3" applyNumberFormat="1" applyFont="1" applyFill="1" applyBorder="1" applyAlignment="1">
      <alignment horizontal="center" vertical="center"/>
    </xf>
    <xf numFmtId="0" fontId="23" fillId="3" borderId="15" xfId="3" applyNumberFormat="1" applyFont="1" applyFill="1" applyBorder="1" applyAlignment="1">
      <alignment horizontal="center" vertical="center" wrapText="1"/>
    </xf>
    <xf numFmtId="0" fontId="8" fillId="4" borderId="16" xfId="3" applyNumberFormat="1" applyFont="1" applyFill="1" applyBorder="1" applyAlignment="1">
      <alignment horizontal="center" vertical="center" wrapText="1"/>
    </xf>
    <xf numFmtId="0" fontId="8" fillId="3" borderId="17" xfId="3" applyNumberFormat="1" applyFont="1" applyFill="1" applyBorder="1" applyAlignment="1">
      <alignment horizontal="center" vertical="center"/>
    </xf>
    <xf numFmtId="0" fontId="4" fillId="3" borderId="15" xfId="3" applyNumberFormat="1" applyFont="1" applyFill="1" applyBorder="1" applyAlignment="1">
      <alignment horizontal="center" vertical="center"/>
    </xf>
    <xf numFmtId="166" fontId="4" fillId="3" borderId="15" xfId="1" applyNumberFormat="1" applyFont="1" applyFill="1" applyBorder="1" applyAlignment="1">
      <alignment horizontal="center" vertical="center"/>
    </xf>
    <xf numFmtId="10" fontId="9" fillId="5" borderId="16" xfId="5" applyNumberFormat="1" applyFont="1" applyFill="1" applyBorder="1"/>
    <xf numFmtId="0" fontId="10" fillId="3" borderId="16" xfId="3" applyNumberFormat="1" applyFont="1" applyFill="1" applyBorder="1" applyAlignment="1"/>
    <xf numFmtId="165" fontId="11" fillId="3" borderId="15" xfId="4" applyNumberFormat="1" applyFont="1" applyFill="1" applyBorder="1"/>
    <xf numFmtId="165" fontId="11" fillId="3" borderId="16" xfId="4" applyNumberFormat="1" applyFont="1" applyFill="1" applyBorder="1"/>
    <xf numFmtId="165" fontId="4" fillId="3" borderId="16" xfId="4" applyNumberFormat="1" applyFont="1" applyFill="1" applyBorder="1"/>
    <xf numFmtId="10" fontId="11" fillId="5" borderId="18" xfId="5" applyNumberFormat="1" applyFont="1" applyFill="1" applyBorder="1"/>
    <xf numFmtId="0" fontId="4" fillId="3" borderId="19" xfId="3" applyNumberFormat="1" applyFont="1" applyFill="1" applyBorder="1" applyAlignment="1">
      <alignment horizontal="center" vertical="center"/>
    </xf>
    <xf numFmtId="166" fontId="4" fillId="3" borderId="19" xfId="1" applyNumberFormat="1" applyFont="1" applyFill="1" applyBorder="1" applyAlignment="1">
      <alignment horizontal="center" vertical="center"/>
    </xf>
    <xf numFmtId="10" fontId="9" fillId="0" borderId="20" xfId="5" applyNumberFormat="1" applyFont="1" applyBorder="1"/>
    <xf numFmtId="0" fontId="10" fillId="3" borderId="20" xfId="3" applyNumberFormat="1" applyFont="1" applyFill="1" applyBorder="1" applyAlignment="1"/>
    <xf numFmtId="165" fontId="11" fillId="3" borderId="19" xfId="4" applyNumberFormat="1" applyFont="1" applyFill="1" applyBorder="1"/>
    <xf numFmtId="165" fontId="11" fillId="3" borderId="20" xfId="4" applyNumberFormat="1" applyFont="1" applyFill="1" applyBorder="1"/>
    <xf numFmtId="165" fontId="4" fillId="3" borderId="20" xfId="4" applyNumberFormat="1" applyFont="1" applyFill="1" applyBorder="1"/>
    <xf numFmtId="10" fontId="11" fillId="0" borderId="21" xfId="5" applyNumberFormat="1" applyFont="1" applyBorder="1"/>
    <xf numFmtId="10" fontId="9" fillId="5" borderId="20" xfId="5" applyNumberFormat="1" applyFont="1" applyFill="1" applyBorder="1"/>
    <xf numFmtId="10" fontId="11" fillId="5" borderId="21" xfId="5" applyNumberFormat="1" applyFont="1" applyFill="1" applyBorder="1"/>
    <xf numFmtId="0" fontId="4" fillId="3" borderId="2" xfId="3" applyNumberFormat="1" applyFont="1" applyFill="1" applyBorder="1" applyAlignment="1">
      <alignment horizontal="center" vertical="center"/>
    </xf>
    <xf numFmtId="166" fontId="4" fillId="3" borderId="2" xfId="1" applyNumberFormat="1" applyFont="1" applyFill="1" applyBorder="1" applyAlignment="1">
      <alignment horizontal="center" vertical="center"/>
    </xf>
    <xf numFmtId="10" fontId="9" fillId="5" borderId="22" xfId="5" applyNumberFormat="1" applyFont="1" applyFill="1" applyBorder="1"/>
    <xf numFmtId="0" fontId="10" fillId="3" borderId="22" xfId="3" applyNumberFormat="1" applyFont="1" applyFill="1" applyBorder="1" applyAlignment="1"/>
    <xf numFmtId="0" fontId="4" fillId="3" borderId="3" xfId="3" applyNumberFormat="1" applyFont="1" applyFill="1" applyBorder="1" applyAlignment="1">
      <alignment horizontal="center" vertical="center"/>
    </xf>
    <xf numFmtId="165" fontId="11" fillId="3" borderId="22" xfId="4" applyNumberFormat="1" applyFont="1" applyFill="1" applyBorder="1"/>
    <xf numFmtId="165" fontId="4" fillId="3" borderId="22" xfId="4" applyNumberFormat="1" applyFont="1" applyFill="1" applyBorder="1"/>
    <xf numFmtId="10" fontId="11" fillId="5" borderId="1" xfId="5" applyNumberFormat="1" applyFont="1" applyFill="1" applyBorder="1"/>
    <xf numFmtId="0" fontId="24" fillId="0" borderId="7" xfId="3" applyFont="1" applyFill="1" applyBorder="1" applyAlignment="1">
      <alignment horizontal="center" vertical="center"/>
    </xf>
    <xf numFmtId="0" fontId="24" fillId="0" borderId="8" xfId="3" applyFont="1" applyFill="1" applyBorder="1" applyAlignment="1">
      <alignment horizontal="center" vertical="center" wrapText="1"/>
    </xf>
    <xf numFmtId="0" fontId="24" fillId="0" borderId="8" xfId="3" applyFont="1" applyFill="1" applyBorder="1" applyAlignment="1">
      <alignment horizontal="center" vertical="center"/>
    </xf>
    <xf numFmtId="0" fontId="24" fillId="0" borderId="9" xfId="3" applyFont="1" applyFill="1" applyBorder="1" applyAlignment="1">
      <alignment horizontal="center" vertical="center" wrapText="1"/>
    </xf>
    <xf numFmtId="0" fontId="25" fillId="0" borderId="10" xfId="3" applyFont="1" applyFill="1" applyBorder="1" applyAlignment="1">
      <alignment horizontal="center" vertical="center"/>
    </xf>
    <xf numFmtId="10" fontId="25" fillId="0" borderId="6" xfId="5" applyNumberFormat="1" applyFont="1" applyFill="1" applyBorder="1"/>
    <xf numFmtId="0" fontId="25" fillId="0" borderId="6" xfId="3" applyFont="1" applyFill="1" applyBorder="1"/>
    <xf numFmtId="0" fontId="25" fillId="0" borderId="6" xfId="3" applyFont="1" applyFill="1" applyBorder="1" applyAlignment="1">
      <alignment horizontal="center" vertical="center"/>
    </xf>
    <xf numFmtId="10" fontId="26" fillId="0" borderId="11" xfId="5" applyNumberFormat="1" applyFont="1" applyFill="1" applyBorder="1"/>
    <xf numFmtId="0" fontId="25" fillId="0" borderId="12" xfId="3" applyFont="1" applyFill="1" applyBorder="1" applyAlignment="1">
      <alignment horizontal="center" vertical="center"/>
    </xf>
    <xf numFmtId="10" fontId="25" fillId="0" borderId="13" xfId="5" applyNumberFormat="1" applyFont="1" applyFill="1" applyBorder="1"/>
    <xf numFmtId="0" fontId="25" fillId="0" borderId="13" xfId="3" applyFont="1" applyFill="1" applyBorder="1"/>
    <xf numFmtId="0" fontId="25" fillId="0" borderId="13" xfId="3" applyFont="1" applyFill="1" applyBorder="1" applyAlignment="1">
      <alignment horizontal="center" vertical="center"/>
    </xf>
    <xf numFmtId="10" fontId="26" fillId="0" borderId="14" xfId="5" applyNumberFormat="1" applyFont="1" applyFill="1" applyBorder="1"/>
    <xf numFmtId="0" fontId="27" fillId="8" borderId="10" xfId="3" applyFont="1" applyFill="1" applyBorder="1" applyAlignment="1">
      <alignment horizontal="center" vertical="center"/>
    </xf>
    <xf numFmtId="0" fontId="27" fillId="8" borderId="6" xfId="3" applyFont="1" applyFill="1" applyBorder="1" applyAlignment="1">
      <alignment horizontal="center" vertical="center"/>
    </xf>
    <xf numFmtId="10" fontId="27" fillId="8" borderId="6" xfId="5" applyNumberFormat="1" applyFont="1" applyFill="1" applyBorder="1" applyAlignment="1">
      <alignment horizontal="center"/>
    </xf>
    <xf numFmtId="0" fontId="27" fillId="8" borderId="6" xfId="3" applyFont="1" applyFill="1" applyBorder="1" applyAlignment="1">
      <alignment horizontal="center"/>
    </xf>
    <xf numFmtId="10" fontId="27" fillId="8" borderId="11" xfId="5" applyNumberFormat="1" applyFont="1" applyFill="1" applyBorder="1" applyAlignment="1">
      <alignment horizontal="center"/>
    </xf>
    <xf numFmtId="166" fontId="27" fillId="8" borderId="6" xfId="1" applyNumberFormat="1" applyFont="1" applyFill="1" applyBorder="1" applyAlignment="1">
      <alignment horizontal="center"/>
    </xf>
    <xf numFmtId="165" fontId="27" fillId="8" borderId="6" xfId="4" applyNumberFormat="1" applyFont="1" applyFill="1" applyBorder="1" applyAlignment="1">
      <alignment horizontal="center" vertical="center"/>
    </xf>
    <xf numFmtId="166" fontId="4" fillId="0" borderId="6" xfId="1" applyNumberFormat="1" applyFont="1" applyFill="1" applyBorder="1" applyAlignment="1">
      <alignment horizontal="center" vertical="center"/>
    </xf>
    <xf numFmtId="166" fontId="4" fillId="0" borderId="13" xfId="1" applyNumberFormat="1" applyFont="1" applyFill="1" applyBorder="1" applyAlignment="1">
      <alignment horizontal="center" vertical="center"/>
    </xf>
    <xf numFmtId="0" fontId="0" fillId="2" borderId="0" xfId="0" applyFill="1" applyAlignment="1">
      <alignment horizontal="center" vertical="center"/>
    </xf>
    <xf numFmtId="165" fontId="25" fillId="0" borderId="6" xfId="4" applyNumberFormat="1" applyFont="1" applyFill="1" applyBorder="1" applyAlignment="1">
      <alignment horizontal="center" vertical="center"/>
    </xf>
    <xf numFmtId="165" fontId="25" fillId="0" borderId="13" xfId="4" applyNumberFormat="1" applyFont="1" applyFill="1" applyBorder="1" applyAlignment="1">
      <alignment horizontal="center" vertical="center"/>
    </xf>
  </cellXfs>
  <cellStyles count="6">
    <cellStyle name="Comma" xfId="1" builtinId="3"/>
    <cellStyle name="Comma 3" xfId="4" xr:uid="{BCD4C3A9-7E0B-4CF7-96EB-5457AF4FB306}"/>
    <cellStyle name="Normal" xfId="0" builtinId="0"/>
    <cellStyle name="Normal 2 16" xfId="3" xr:uid="{016DCF92-AE2F-4039-9FED-4DC2E2866DB6}"/>
    <cellStyle name="Percent" xfId="2" builtinId="5"/>
    <cellStyle name="Percent 3" xfId="5" xr:uid="{C63461E8-681C-4854-A0CB-BA1542532983}"/>
  </cellStyles>
  <dxfs count="145">
    <dxf>
      <font>
        <b/>
        <i val="0"/>
        <strike val="0"/>
        <condense val="0"/>
        <extend val="0"/>
        <outline val="0"/>
        <shadow val="0"/>
        <u val="none"/>
        <vertAlign val="baseline"/>
        <sz val="18"/>
        <color theme="1" tint="0.34998626667073579"/>
        <name val="Calibri"/>
        <family val="2"/>
        <scheme val="minor"/>
      </font>
      <numFmt numFmtId="165" formatCode="_(* #,##0_);_(* \(#,##0\);_(* &quot;-&quot;??_);_(@_)"/>
      <fill>
        <patternFill patternType="none">
          <fgColor indexed="64"/>
          <bgColor auto="1"/>
        </patternFill>
      </fill>
      <alignment horizontal="center" vertical="center" textRotation="0" indent="0" justifyLastLine="0" shrinkToFit="0" readingOrder="0"/>
      <border diagonalUp="0" diagonalDown="0" outline="0">
        <left style="slantDashDot">
          <color theme="0" tint="-0.499984740745262"/>
        </left>
        <right style="slantDashDot">
          <color theme="0" tint="-0.499984740745262"/>
        </right>
        <top style="slantDashDot">
          <color theme="0" tint="-0.499984740745262"/>
        </top>
        <bottom style="slantDashDot">
          <color theme="0" tint="-0.499984740745262"/>
        </bottom>
      </border>
    </dxf>
    <dxf>
      <font>
        <b/>
        <i val="0"/>
        <strike val="0"/>
        <condense val="0"/>
        <extend val="0"/>
        <outline val="0"/>
        <shadow val="0"/>
        <u val="none"/>
        <vertAlign val="baseline"/>
        <sz val="18"/>
        <color theme="1" tint="0.3499862666707357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slantDashDot">
          <color theme="0" tint="-0.499984740745262"/>
        </right>
        <top style="slantDashDot">
          <color theme="0" tint="-0.499984740745262"/>
        </top>
        <bottom style="slantDashDot">
          <color theme="0" tint="-0.499984740745262"/>
        </bottom>
      </border>
    </dxf>
    <dxf>
      <font>
        <b/>
        <i val="0"/>
        <strike val="0"/>
        <condense val="0"/>
        <extend val="0"/>
        <outline val="0"/>
        <shadow val="0"/>
        <u val="none"/>
        <vertAlign val="baseline"/>
        <sz val="18"/>
        <color theme="1" tint="0.3499862666707357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slantDashDot">
          <color theme="0" tint="-0.499984740745262"/>
        </left>
        <right style="slantDashDot">
          <color theme="0" tint="-0.499984740745262"/>
        </right>
        <top style="slantDashDot">
          <color theme="0" tint="-0.499984740745262"/>
        </top>
        <bottom style="slantDashDot">
          <color theme="0" tint="-0.499984740745262"/>
        </bottom>
      </border>
    </dxf>
    <dxf>
      <font>
        <b/>
        <i val="0"/>
        <color rgb="FFFF0000"/>
      </font>
      <fill>
        <patternFill patternType="none">
          <bgColor auto="1"/>
        </patternFill>
      </fill>
    </dxf>
    <dxf>
      <font>
        <strike val="0"/>
        <outline val="0"/>
        <shadow val="0"/>
        <u val="none"/>
        <vertAlign val="baseline"/>
        <color theme="1" tint="0.34998626667073579"/>
        <name val="Calibri"/>
        <family val="2"/>
        <scheme val="minor"/>
      </font>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numFmt numFmtId="14" formatCode="0.00%"/>
      <fill>
        <patternFill patternType="none">
          <fgColor indexed="64"/>
          <bgColor auto="1"/>
        </patternFill>
      </fill>
      <border diagonalUp="0" diagonalDown="0" outline="0">
        <left style="slantDashDot">
          <color theme="0" tint="-0.499984740745262"/>
        </left>
        <right/>
        <top style="slantDashDot">
          <color theme="0" tint="-0.499984740745262"/>
        </top>
        <bottom style="slantDashDot">
          <color theme="0" tint="-0.499984740745262"/>
        </bottom>
      </border>
    </dxf>
    <dxf>
      <font>
        <b/>
        <i val="0"/>
        <strike val="0"/>
        <condense val="0"/>
        <extend val="0"/>
        <outline val="0"/>
        <shadow val="0"/>
        <u val="none"/>
        <vertAlign val="baseline"/>
        <sz val="18"/>
        <color theme="1" tint="0.34998626667073579"/>
        <name val="Calibri"/>
        <family val="2"/>
        <scheme val="minor"/>
      </font>
      <fill>
        <patternFill patternType="none">
          <fgColor indexed="64"/>
          <bgColor auto="1"/>
        </patternFill>
      </fill>
      <border diagonalUp="0" diagonalDown="0" outline="0">
        <left style="slantDashDot">
          <color theme="0" tint="-0.499984740745262"/>
        </left>
        <right style="slantDashDot">
          <color theme="0" tint="-0.499984740745262"/>
        </right>
        <top style="slantDashDot">
          <color theme="0" tint="-0.499984740745262"/>
        </top>
        <bottom style="slantDashDot">
          <color theme="0" tint="-0.499984740745262"/>
        </bottom>
      </border>
    </dxf>
    <dxf>
      <font>
        <b/>
        <i val="0"/>
        <strike val="0"/>
        <condense val="0"/>
        <extend val="0"/>
        <outline val="0"/>
        <shadow val="0"/>
        <u val="none"/>
        <vertAlign val="baseline"/>
        <sz val="18"/>
        <color theme="1" tint="0.34998626667073579"/>
        <name val="Calibri"/>
        <family val="2"/>
        <scheme val="minor"/>
      </font>
      <numFmt numFmtId="14" formatCode="0.00%"/>
      <fill>
        <patternFill patternType="none">
          <fgColor indexed="64"/>
          <bgColor auto="1"/>
        </patternFill>
      </fill>
      <border diagonalUp="0" diagonalDown="0" outline="0">
        <left style="slantDashDot">
          <color theme="0" tint="-0.499984740745262"/>
        </left>
        <right style="slantDashDot">
          <color theme="0" tint="-0.499984740745262"/>
        </right>
        <top style="slantDashDot">
          <color theme="0" tint="-0.499984740745262"/>
        </top>
        <bottom style="slantDashDot">
          <color theme="0" tint="-0.499984740745262"/>
        </bottom>
      </border>
    </dxf>
    <dxf>
      <font>
        <b/>
        <i val="0"/>
        <strike val="0"/>
        <condense val="0"/>
        <extend val="0"/>
        <outline val="0"/>
        <shadow val="0"/>
        <u val="none"/>
        <vertAlign val="baseline"/>
        <sz val="18"/>
        <color theme="1" tint="0.34998626667073579"/>
        <name val="Calibri"/>
        <family val="2"/>
        <scheme val="minor"/>
      </font>
      <numFmt numFmtId="166" formatCode="_-* #,##0_-;\-* #,##0_-;_-* &quot;-&quot;??_-;_-@_-"/>
      <fill>
        <patternFill patternType="none">
          <fgColor indexed="64"/>
          <bgColor auto="1"/>
        </patternFill>
      </fill>
      <alignment horizontal="center" vertical="center" textRotation="0" wrapText="0" indent="0" justifyLastLine="0" shrinkToFit="0" readingOrder="0"/>
      <border diagonalUp="0" diagonalDown="0" outline="0">
        <left style="slantDashDot">
          <color theme="0" tint="-0.499984740745262"/>
        </left>
        <right style="slantDashDot">
          <color theme="0" tint="-0.499984740745262"/>
        </right>
        <top style="slantDashDot">
          <color theme="0" tint="-0.499984740745262"/>
        </top>
        <bottom style="slantDashDot">
          <color theme="0" tint="-0.499984740745262"/>
        </bottom>
      </border>
    </dxf>
    <dxf>
      <font>
        <strike val="0"/>
        <outline val="0"/>
        <shadow val="0"/>
        <u val="none"/>
        <vertAlign val="baseline"/>
        <sz val="18"/>
        <color rgb="FF00B050"/>
        <name val="Calibri"/>
        <family val="2"/>
        <scheme val="minor"/>
      </font>
      <fill>
        <patternFill patternType="none">
          <fgColor indexed="64"/>
          <bgColor auto="1"/>
        </patternFill>
      </fill>
      <border diagonalUp="0" diagonalDown="0" outline="0">
        <left style="slantDashDot">
          <color theme="0" tint="-0.499984740745262"/>
        </left>
        <right style="slantDashDot">
          <color theme="0" tint="-0.499984740745262"/>
        </right>
        <top/>
        <bottom/>
      </border>
    </dxf>
    <dxf>
      <fill>
        <patternFill>
          <bgColor theme="1"/>
        </patternFill>
      </fill>
    </dxf>
    <dxf>
      <border>
        <top style="slantDashDot">
          <color theme="0" tint="-0.499984740745262"/>
        </top>
      </border>
    </dxf>
    <dxf>
      <border>
        <bottom style="slantDashDot">
          <color theme="0" tint="-0.499984740745262"/>
        </bottom>
      </border>
    </dxf>
    <dxf>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border>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bgColor rgb="FFFFFF00"/>
        </patternFill>
      </fill>
    </dxf>
    <dxf>
      <font>
        <b/>
        <i val="0"/>
        <color rgb="FFFF0000"/>
      </font>
      <fill>
        <patternFill>
          <bgColor rgb="FFFFFF00"/>
        </patternFill>
      </fill>
    </dxf>
    <dxf>
      <font>
        <b/>
        <i val="0"/>
        <color rgb="FFFF0000"/>
      </font>
      <fill>
        <patternFill patternType="none">
          <bgColor auto="1"/>
        </patternFill>
      </fill>
    </dxf>
    <dxf>
      <font>
        <b/>
        <i val="0"/>
        <color rgb="FFFF0000"/>
      </font>
      <fill>
        <patternFill patternType="none">
          <bgColor auto="1"/>
        </patternFill>
      </fill>
    </dxf>
    <dxf>
      <font>
        <b/>
        <i val="0"/>
        <strike val="0"/>
        <condense val="0"/>
        <extend val="0"/>
        <outline val="0"/>
        <shadow val="0"/>
        <u val="none"/>
        <vertAlign val="baseline"/>
        <sz val="11"/>
        <color theme="0"/>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border>
        <top style="slantDashDot">
          <color theme="0" tint="-0.499984740745262"/>
        </top>
      </border>
    </dxf>
    <dxf>
      <border>
        <bottom style="slantDashDot">
          <color theme="0" tint="-0.499984740745262"/>
        </bottom>
      </border>
    </dxf>
    <dxf>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auto="1"/>
        </patternFill>
      </fill>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ill>
        <patternFill patternType="none">
          <fgColor indexed="64"/>
          <bgColor auto="1"/>
        </patternFill>
      </fill>
    </dxf>
    <dxf>
      <fill>
        <patternFill patternType="none">
          <fgColor indexed="64"/>
          <bgColor auto="1"/>
        </patternFill>
      </fill>
    </dxf>
    <dxf>
      <font>
        <b/>
        <color auto="1"/>
      </font>
      <numFmt numFmtId="1" formatCode="0"/>
      <fill>
        <patternFill patternType="none">
          <fgColor indexed="64"/>
          <bgColor indexed="65"/>
        </patternFill>
      </fill>
      <border diagonalUp="0" diagonalDown="0">
        <left style="slantDashDot">
          <color theme="0" tint="-0.499984740745262"/>
        </left>
        <right/>
        <top style="slantDashDot">
          <color theme="0" tint="-0.499984740745262"/>
        </top>
        <bottom style="slantDashDot">
          <color theme="0" tint="-0.499984740745262"/>
        </bottom>
        <vertical/>
        <horizontal/>
      </border>
    </dxf>
    <dxf>
      <font>
        <b/>
        <color auto="1"/>
      </font>
      <numFmt numFmtId="1"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ill>
        <patternFill patternType="none">
          <fgColor indexed="64"/>
          <bgColor auto="1"/>
        </patternFill>
      </fill>
      <border diagonalUp="0" diagonalDown="0">
        <left style="slantDashDot">
          <color theme="0" tint="-0.499984740745262"/>
        </left>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i val="0"/>
        <strike val="0"/>
        <condense val="0"/>
        <extend val="0"/>
        <outline val="0"/>
        <shadow val="0"/>
        <u val="none"/>
        <vertAlign val="baseline"/>
        <sz val="11"/>
        <color auto="1"/>
        <name val="Calibri"/>
        <family val="2"/>
        <scheme val="minor"/>
      </font>
      <numFmt numFmtId="13" formatCode="0%"/>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ont>
        <b/>
        <i val="0"/>
        <strike val="0"/>
        <condense val="0"/>
        <extend val="0"/>
        <outline val="0"/>
        <shadow val="0"/>
        <u val="none"/>
        <vertAlign val="baseline"/>
        <sz val="18"/>
        <color auto="1"/>
        <name val="Calibri"/>
        <family val="2"/>
        <scheme val="minor"/>
      </font>
      <numFmt numFmtId="165" formatCode="_(* #,##0_);_(* \(#,##0\);_(* &quot;-&quot;??_);_(@_)"/>
      <fill>
        <patternFill patternType="none">
          <fgColor indexed="64"/>
          <bgColor indexed="65"/>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fill>
        <patternFill patternType="none">
          <fgColor indexed="64"/>
          <bgColor auto="1"/>
        </patternFill>
      </fill>
      <border diagonalUp="0" diagonalDown="0">
        <left/>
        <right style="slantDashDot">
          <color theme="0" tint="-0.499984740745262"/>
        </right>
        <top style="slantDashDot">
          <color theme="0" tint="-0.499984740745262"/>
        </top>
        <bottom style="slantDashDot">
          <color theme="0" tint="-0.499984740745262"/>
        </bottom>
        <vertical style="slantDashDot">
          <color theme="0" tint="-0.499984740745262"/>
        </vertical>
        <horizontal style="slantDashDot">
          <color theme="0" tint="-0.499984740745262"/>
        </horizontal>
      </border>
    </dxf>
    <dxf>
      <border>
        <top style="slantDashDot">
          <color theme="0" tint="-0.499984740745262"/>
        </top>
      </border>
    </dxf>
    <dxf>
      <border diagonalUp="0" diagonalDown="0">
        <left style="slantDashDot">
          <color theme="0" tint="-0.499984740745262"/>
        </left>
        <right style="slantDashDot">
          <color theme="0" tint="-0.499984740745262"/>
        </right>
        <top style="slantDashDot">
          <color theme="0" tint="-0.499984740745262"/>
        </top>
        <bottom style="slantDashDot">
          <color theme="0" tint="-0.499984740745262"/>
        </bottom>
      </border>
    </dxf>
    <dxf>
      <fill>
        <patternFill patternType="none">
          <fgColor indexed="64"/>
          <bgColor auto="1"/>
        </patternFill>
      </fill>
    </dxf>
    <dxf>
      <border>
        <bottom style="slantDashDot">
          <color theme="0" tint="-0.499984740745262"/>
        </bottom>
      </border>
    </dxf>
    <dxf>
      <font>
        <b/>
        <i val="0"/>
        <strike val="0"/>
        <condense val="0"/>
        <extend val="0"/>
        <outline val="0"/>
        <shadow val="0"/>
        <u val="none"/>
        <vertAlign val="baseline"/>
        <sz val="18"/>
        <color theme="0"/>
        <name val="Calibri"/>
        <family val="2"/>
        <scheme val="minor"/>
      </font>
      <numFmt numFmtId="0" formatCode="General"/>
      <fill>
        <patternFill patternType="solid">
          <fgColor theme="5"/>
          <bgColor theme="5"/>
        </patternFill>
      </fill>
      <alignment horizontal="center" vertical="center" textRotation="0" wrapText="1" indent="0" justifyLastLine="0" shrinkToFit="0" readingOrder="0"/>
      <border diagonalUp="0" diagonalDown="0">
        <left style="slantDashDot">
          <color theme="0" tint="-0.499984740745262"/>
        </left>
        <right style="slantDashDot">
          <color theme="0" tint="-0.499984740745262"/>
        </right>
        <top/>
        <bottom/>
        <vertical style="slantDashDot">
          <color theme="0" tint="-0.499984740745262"/>
        </vertical>
        <horizontal style="slantDashDot">
          <color theme="0" tint="-0.499984740745262"/>
        </horizontal>
      </border>
    </dxf>
  </dxfs>
  <tableStyles count="1" defaultTableStyle="TableStyleMedium2" defaultPivotStyle="PivotStyleLight16">
    <tableStyle name="Table Style 1" pivot="0" count="1" xr9:uid="{925C2D10-B5FE-4CF2-8D06-E1A144EDA884}">
      <tableStyleElement type="wholeTabl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26" Type="http://schemas.microsoft.com/office/2007/relationships/slicerCache" Target="slicerCaches/slicerCache20.xml"/><Relationship Id="rId3" Type="http://schemas.openxmlformats.org/officeDocument/2006/relationships/worksheet" Target="worksheets/sheet3.xml"/><Relationship Id="rId21" Type="http://schemas.microsoft.com/office/2007/relationships/slicerCache" Target="slicerCaches/slicerCache15.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microsoft.com/office/2007/relationships/slicerCache" Target="slicerCaches/slicerCache19.xml"/><Relationship Id="rId2" Type="http://schemas.openxmlformats.org/officeDocument/2006/relationships/worksheet" Target="worksheets/sheet2.xml"/><Relationship Id="rId16" Type="http://schemas.microsoft.com/office/2007/relationships/slicerCache" Target="slicerCaches/slicerCache10.xml"/><Relationship Id="rId20" Type="http://schemas.microsoft.com/office/2007/relationships/slicerCache" Target="slicerCaches/slicerCache1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microsoft.com/office/2007/relationships/slicerCache" Target="slicerCaches/slicerCache18.xml"/><Relationship Id="rId5" Type="http://schemas.openxmlformats.org/officeDocument/2006/relationships/externalLink" Target="externalLinks/externalLink1.xml"/><Relationship Id="rId15" Type="http://schemas.microsoft.com/office/2007/relationships/slicerCache" Target="slicerCaches/slicerCache9.xml"/><Relationship Id="rId23" Type="http://schemas.microsoft.com/office/2007/relationships/slicerCache" Target="slicerCaches/slicerCache17.xml"/><Relationship Id="rId28" Type="http://schemas.openxmlformats.org/officeDocument/2006/relationships/theme" Target="theme/theme1.xml"/><Relationship Id="rId10" Type="http://schemas.microsoft.com/office/2007/relationships/slicerCache" Target="slicerCaches/slicerCache4.xml"/><Relationship Id="rId19" Type="http://schemas.microsoft.com/office/2007/relationships/slicerCache" Target="slicerCaches/slicerCache13.xml"/><Relationship Id="rId31"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microsoft.com/office/2007/relationships/slicerCache" Target="slicerCaches/slicerCache16.xml"/><Relationship Id="rId27" Type="http://schemas.microsoft.com/office/2007/relationships/slicerCache" Target="slicerCaches/slicerCache2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[BR_DASHBOARD_MT_AJS BATAM.xlsx]PVT_VICTORIA BY EXTENTION!PivotTable4</c:name>
    <c:fmtId val="10"/>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GROWTH by Total Value</a:t>
            </a:r>
            <a:r>
              <a:rPr lang="en-US" sz="2000" baseline="0"/>
              <a:t> by Outlet</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0">
                    <a:noFill/>
                  </a:ln>
                  <a:solidFill>
                    <a:srgbClr val="FFFF00"/>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3E-2"/>
          <c:y val="0.30815444444444445"/>
          <c:w val="0.54593657407407403"/>
          <c:h val="0.65512388888888884"/>
        </c:manualLayout>
      </c:layout>
      <c:pieChart>
        <c:varyColors val="1"/>
        <c:ser>
          <c:idx val="0"/>
          <c:order val="0"/>
          <c:tx>
            <c:strRef>
              <c:f>'PVT_VICTORIA BY EXTENTION'!$D$16:$D$17</c:f>
              <c:strCache>
                <c:ptCount val="1"/>
                <c:pt idx="0">
                  <c:v>Sum of GROWTH Grand 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AC2-47FF-9A41-E82CDC2C090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AC2-47FF-9A41-E82CDC2C090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AC2-47FF-9A41-E82CDC2C090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AC2-47FF-9A41-E82CDC2C090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AC2-47FF-9A41-E82CDC2C090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0">
                      <a:noFill/>
                    </a:ln>
                    <a:solidFill>
                      <a:srgbClr val="FFFF00"/>
                    </a:solidFill>
                    <a:latin typeface="+mn-lt"/>
                    <a:ea typeface="+mn-ea"/>
                    <a:cs typeface="+mn-cs"/>
                  </a:defRPr>
                </a:pPr>
                <a:endParaRPr lang="en-US"/>
              </a:p>
            </c:txPr>
            <c:dLblPos val="bestFit"/>
            <c:showLegendKey val="1"/>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EXTENTION'!$B$18:$C$23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EXTENTION'!$D$18:$D$23</c:f>
              <c:numCache>
                <c:formatCode>0%</c:formatCode>
                <c:ptCount val="5"/>
                <c:pt idx="0">
                  <c:v>0.14615526070215323</c:v>
                </c:pt>
                <c:pt idx="1">
                  <c:v>8.2875901064989321E-2</c:v>
                </c:pt>
                <c:pt idx="2">
                  <c:v>0.53125581848101922</c:v>
                </c:pt>
                <c:pt idx="3">
                  <c:v>-6.1875180833412813E-3</c:v>
                </c:pt>
                <c:pt idx="4">
                  <c:v>-1.2873396506144386E-2</c:v>
                </c:pt>
              </c:numCache>
            </c:numRef>
          </c:val>
          <c:extLst>
            <c:ext xmlns:c16="http://schemas.microsoft.com/office/drawing/2014/chart" uri="{C3380CC4-5D6E-409C-BE32-E72D297353CC}">
              <c16:uniqueId val="{0000000A-FAC2-47FF-9A41-E82CDC2C0903}"/>
            </c:ext>
          </c:extLst>
        </c:ser>
        <c:ser>
          <c:idx val="1"/>
          <c:order val="1"/>
          <c:tx>
            <c:strRef>
              <c:f>'PVT_VICTORIA BY EXTENTION'!$E$16:$E$17</c:f>
              <c:strCache>
                <c:ptCount val="1"/>
                <c:pt idx="0">
                  <c:v>Sum of Grand Total 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FAC2-47FF-9A41-E82CDC2C090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FAC2-47FF-9A41-E82CDC2C090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FAC2-47FF-9A41-E82CDC2C090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FAC2-47FF-9A41-E82CDC2C090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FAC2-47FF-9A41-E82CDC2C09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EXTENTION'!$B$18:$C$23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EXTENTION'!$E$18:$E$23</c:f>
              <c:numCache>
                <c:formatCode>_-* #,##0_-;\-* #,##0_-;_-* "-"??_-;_-@_-</c:formatCode>
                <c:ptCount val="5"/>
                <c:pt idx="0">
                  <c:v>1870731789.343648</c:v>
                </c:pt>
                <c:pt idx="1">
                  <c:v>708852693.41020477</c:v>
                </c:pt>
                <c:pt idx="2">
                  <c:v>549867111.18541491</c:v>
                </c:pt>
                <c:pt idx="3">
                  <c:v>221681413.51739582</c:v>
                </c:pt>
                <c:pt idx="4">
                  <c:v>390330571.23062468</c:v>
                </c:pt>
              </c:numCache>
            </c:numRef>
          </c:val>
          <c:extLst>
            <c:ext xmlns:c16="http://schemas.microsoft.com/office/drawing/2014/chart" uri="{C3380CC4-5D6E-409C-BE32-E72D297353CC}">
              <c16:uniqueId val="{00000015-FAC2-47FF-9A41-E82CDC2C0903}"/>
            </c:ext>
          </c:extLst>
        </c:ser>
        <c:ser>
          <c:idx val="2"/>
          <c:order val="2"/>
          <c:tx>
            <c:strRef>
              <c:f>'PVT_VICTORIA BY EXTENTION'!$F$16:$F$17</c:f>
              <c:strCache>
                <c:ptCount val="1"/>
                <c:pt idx="0">
                  <c:v>Sum of Grand Total 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FAC2-47FF-9A41-E82CDC2C090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FAC2-47FF-9A41-E82CDC2C090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FAC2-47FF-9A41-E82CDC2C090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FAC2-47FF-9A41-E82CDC2C090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FAC2-47FF-9A41-E82CDC2C09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EXTENTION'!$B$18:$C$23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EXTENTION'!$F$18:$F$23</c:f>
              <c:numCache>
                <c:formatCode>_-* #,##0_-;\-* #,##0_-;_-* "-"??_-;_-@_-</c:formatCode>
                <c:ptCount val="5"/>
                <c:pt idx="0">
                  <c:v>1632180083.6979165</c:v>
                </c:pt>
                <c:pt idx="1">
                  <c:v>654601965.66666663</c:v>
                </c:pt>
                <c:pt idx="2">
                  <c:v>359095524.4375</c:v>
                </c:pt>
                <c:pt idx="3">
                  <c:v>223061611.27083334</c:v>
                </c:pt>
                <c:pt idx="4">
                  <c:v>395420982.32291669</c:v>
                </c:pt>
              </c:numCache>
            </c:numRef>
          </c:val>
          <c:extLst>
            <c:ext xmlns:c16="http://schemas.microsoft.com/office/drawing/2014/chart" uri="{C3380CC4-5D6E-409C-BE32-E72D297353CC}">
              <c16:uniqueId val="{00000020-FAC2-47FF-9A41-E82CDC2C09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711972850391064"/>
          <c:y val="0.31948119742359266"/>
          <c:w val="0.29859202280526442"/>
          <c:h val="0.5024650877408954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[BR_DASHBOARD_MT_AJS BATAM.xlsx]PVT_VICTORIA BY EXTENTION!PivotTable6</c:name>
    <c:fmtId val="17"/>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PERFORMANCE by</a:t>
            </a:r>
            <a:r>
              <a:rPr lang="en-US" sz="2000" baseline="0"/>
              <a:t> Extention by Outlet </a:t>
            </a:r>
          </a:p>
          <a:p>
            <a:pPr>
              <a:defRPr sz="2000"/>
            </a:pPr>
            <a:r>
              <a:rPr lang="en-US" sz="2000" baseline="0"/>
              <a:t>(BODY LOTION)</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FF00"/>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497474747474751E-2"/>
          <c:y val="8.612870370370368E-2"/>
          <c:w val="0.55746755050505048"/>
          <c:h val="0.76906388888888888"/>
        </c:manualLayout>
      </c:layout>
      <c:pie3DChart>
        <c:varyColors val="1"/>
        <c:ser>
          <c:idx val="0"/>
          <c:order val="0"/>
          <c:tx>
            <c:strRef>
              <c:f>'PVT_VICTORIA BY EXTENTION'!$J$16:$J$17</c:f>
              <c:strCache>
                <c:ptCount val="1"/>
                <c:pt idx="0">
                  <c:v>Sum of GROWTH BODY LOTION</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897-46BD-855D-06C9A7504D0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897-46BD-855D-06C9A7504D0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897-46BD-855D-06C9A7504D0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897-46BD-855D-06C9A7504D0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897-46BD-855D-06C9A7504D0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FF00"/>
                    </a:solidFill>
                    <a:latin typeface="+mn-lt"/>
                    <a:ea typeface="+mn-ea"/>
                    <a:cs typeface="+mn-cs"/>
                  </a:defRPr>
                </a:pPr>
                <a:endParaRPr lang="en-US"/>
              </a:p>
            </c:txPr>
            <c:dLblPos val="bestFit"/>
            <c:showLegendKey val="1"/>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EXTENTION'!$H$18:$I$23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EXTENTION'!$J$18:$J$23</c:f>
              <c:numCache>
                <c:formatCode>0%</c:formatCode>
                <c:ptCount val="5"/>
                <c:pt idx="0">
                  <c:v>-0.13647854607428422</c:v>
                </c:pt>
                <c:pt idx="1">
                  <c:v>-0.20361389258276064</c:v>
                </c:pt>
                <c:pt idx="2">
                  <c:v>-2.5135416895494367E-2</c:v>
                </c:pt>
                <c:pt idx="3">
                  <c:v>-0.17245706729407684</c:v>
                </c:pt>
                <c:pt idx="4">
                  <c:v>-0.10158206654684854</c:v>
                </c:pt>
              </c:numCache>
            </c:numRef>
          </c:val>
          <c:extLst>
            <c:ext xmlns:c16="http://schemas.microsoft.com/office/drawing/2014/chart" uri="{C3380CC4-5D6E-409C-BE32-E72D297353CC}">
              <c16:uniqueId val="{0000000A-7897-46BD-855D-06C9A7504D08}"/>
            </c:ext>
          </c:extLst>
        </c:ser>
        <c:ser>
          <c:idx val="1"/>
          <c:order val="1"/>
          <c:tx>
            <c:strRef>
              <c:f>'PVT_VICTORIA BY EXTENTION'!$K$16:$K$17</c:f>
              <c:strCache>
                <c:ptCount val="1"/>
                <c:pt idx="0">
                  <c:v>Sum of BODY LOTION 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7897-46BD-855D-06C9A7504D0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7897-46BD-855D-06C9A7504D0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7897-46BD-855D-06C9A7504D0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7897-46BD-855D-06C9A7504D0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7897-46BD-855D-06C9A7504D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EXTENTION'!$H$18:$I$23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EXTENTION'!$K$18:$K$23</c:f>
              <c:numCache>
                <c:formatCode>_-* #,##0_-;\-* #,##0_-;_-* "-"??_-;_-@_-</c:formatCode>
                <c:ptCount val="5"/>
                <c:pt idx="0">
                  <c:v>63821371.190624975</c:v>
                </c:pt>
                <c:pt idx="1">
                  <c:v>28182802.847500056</c:v>
                </c:pt>
                <c:pt idx="2">
                  <c:v>19653790.207499992</c:v>
                </c:pt>
                <c:pt idx="3">
                  <c:v>5950181.0749999983</c:v>
                </c:pt>
                <c:pt idx="4">
                  <c:v>10034597.060624991</c:v>
                </c:pt>
              </c:numCache>
            </c:numRef>
          </c:val>
          <c:extLst>
            <c:ext xmlns:c16="http://schemas.microsoft.com/office/drawing/2014/chart" uri="{C3380CC4-5D6E-409C-BE32-E72D297353CC}">
              <c16:uniqueId val="{00000015-7897-46BD-855D-06C9A7504D08}"/>
            </c:ext>
          </c:extLst>
        </c:ser>
        <c:ser>
          <c:idx val="2"/>
          <c:order val="2"/>
          <c:tx>
            <c:strRef>
              <c:f>'PVT_VICTORIA BY EXTENTION'!$L$16:$L$17</c:f>
              <c:strCache>
                <c:ptCount val="1"/>
                <c:pt idx="0">
                  <c:v>Sum of BODY LOTION 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7897-46BD-855D-06C9A7504D0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7897-46BD-855D-06C9A7504D0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7897-46BD-855D-06C9A7504D0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7897-46BD-855D-06C9A7504D0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7897-46BD-855D-06C9A7504D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EXTENTION'!$H$18:$I$23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EXTENTION'!$L$18:$L$23</c:f>
              <c:numCache>
                <c:formatCode>_-* #,##0_-;\-* #,##0_-;_-* "-"??_-;_-@_-</c:formatCode>
                <c:ptCount val="5"/>
                <c:pt idx="0">
                  <c:v>73908263.541666672</c:v>
                </c:pt>
                <c:pt idx="1">
                  <c:v>35388365.75</c:v>
                </c:pt>
                <c:pt idx="2">
                  <c:v>20160533.625</c:v>
                </c:pt>
                <c:pt idx="3">
                  <c:v>7190178.104166667</c:v>
                </c:pt>
                <c:pt idx="4">
                  <c:v>11169186.062499998</c:v>
                </c:pt>
              </c:numCache>
            </c:numRef>
          </c:val>
          <c:extLst>
            <c:ext xmlns:c16="http://schemas.microsoft.com/office/drawing/2014/chart" uri="{C3380CC4-5D6E-409C-BE32-E72D297353CC}">
              <c16:uniqueId val="{00000020-7897-46BD-855D-06C9A7504D08}"/>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[BR_DASHBOARD_MT_AJS BATAM.xlsx]PVT_VICTORIA BY EXTENTION!PivotTable7</c:name>
    <c:fmtId val="22"/>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PERFORMANCE by Extention by Outlet </a:t>
            </a:r>
          </a:p>
          <a:p>
            <a:pPr>
              <a:defRPr sz="2000"/>
            </a:pPr>
            <a:r>
              <a:rPr lang="en-US" sz="2000"/>
              <a:t>(SABUN CAIR)</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FF00"/>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7232185185185187"/>
          <c:w val="0.54174891975308637"/>
          <c:h val="0.68308611111111106"/>
        </c:manualLayout>
      </c:layout>
      <c:pie3DChart>
        <c:varyColors val="1"/>
        <c:ser>
          <c:idx val="0"/>
          <c:order val="0"/>
          <c:tx>
            <c:strRef>
              <c:f>'PVT_VICTORIA BY EXTENTION'!$P$16:$P$17</c:f>
              <c:strCache>
                <c:ptCount val="1"/>
                <c:pt idx="0">
                  <c:v>Sum of GROWTH SABUN CAIR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D51-4990-95DB-BFB709B67E1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D51-4990-95DB-BFB709B67E1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D51-4990-95DB-BFB709B67E1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D51-4990-95DB-BFB709B67E1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D51-4990-95DB-BFB709B67E1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FF00"/>
                    </a:solidFill>
                    <a:latin typeface="+mn-lt"/>
                    <a:ea typeface="+mn-ea"/>
                    <a:cs typeface="+mn-cs"/>
                  </a:defRPr>
                </a:pPr>
                <a:endParaRPr lang="en-US"/>
              </a:p>
            </c:txPr>
            <c:dLblPos val="bestFit"/>
            <c:showLegendKey val="1"/>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EXTENTION'!$N$18:$O$23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EXTENTION'!$P$18:$P$23</c:f>
              <c:numCache>
                <c:formatCode>0%</c:formatCode>
                <c:ptCount val="5"/>
                <c:pt idx="0">
                  <c:v>-7.6097701336503953E-2</c:v>
                </c:pt>
                <c:pt idx="1">
                  <c:v>-4.6437599291345499E-2</c:v>
                </c:pt>
                <c:pt idx="2">
                  <c:v>0.19606935123667357</c:v>
                </c:pt>
                <c:pt idx="3">
                  <c:v>-0.22905316042242307</c:v>
                </c:pt>
                <c:pt idx="4">
                  <c:v>-0.27439168104231682</c:v>
                </c:pt>
              </c:numCache>
            </c:numRef>
          </c:val>
          <c:extLst>
            <c:ext xmlns:c16="http://schemas.microsoft.com/office/drawing/2014/chart" uri="{C3380CC4-5D6E-409C-BE32-E72D297353CC}">
              <c16:uniqueId val="{0000000A-CD51-4990-95DB-BFB709B67E18}"/>
            </c:ext>
          </c:extLst>
        </c:ser>
        <c:ser>
          <c:idx val="1"/>
          <c:order val="1"/>
          <c:tx>
            <c:strRef>
              <c:f>'PVT_VICTORIA BY EXTENTION'!$Q$16:$Q$17</c:f>
              <c:strCache>
                <c:ptCount val="1"/>
                <c:pt idx="0">
                  <c:v>Sum of SABUN CAIR 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CD51-4990-95DB-BFB709B67E1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CD51-4990-95DB-BFB709B67E1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CD51-4990-95DB-BFB709B67E1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CD51-4990-95DB-BFB709B67E1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CD51-4990-95DB-BFB709B67E18}"/>
              </c:ext>
            </c:extLst>
          </c:dPt>
          <c:cat>
            <c:multiLvlStrRef>
              <c:f>'PVT_VICTORIA BY EXTENTION'!$N$18:$O$23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EXTENTION'!$Q$18:$Q$23</c:f>
              <c:numCache>
                <c:formatCode>_-* #,##0_-;\-* #,##0_-;_-* "-"??_-;_-@_-</c:formatCode>
                <c:ptCount val="5"/>
                <c:pt idx="0">
                  <c:v>1153659048.1743734</c:v>
                </c:pt>
                <c:pt idx="1">
                  <c:v>473845045.08499956</c:v>
                </c:pt>
                <c:pt idx="2">
                  <c:v>321412367.60937506</c:v>
                </c:pt>
                <c:pt idx="3">
                  <c:v>134446400.014375</c:v>
                </c:pt>
                <c:pt idx="4">
                  <c:v>223955235.46562496</c:v>
                </c:pt>
              </c:numCache>
            </c:numRef>
          </c:val>
          <c:extLst>
            <c:ext xmlns:c16="http://schemas.microsoft.com/office/drawing/2014/chart" uri="{C3380CC4-5D6E-409C-BE32-E72D297353CC}">
              <c16:uniqueId val="{00000015-CD51-4990-95DB-BFB709B67E18}"/>
            </c:ext>
          </c:extLst>
        </c:ser>
        <c:ser>
          <c:idx val="2"/>
          <c:order val="2"/>
          <c:tx>
            <c:strRef>
              <c:f>'PVT_VICTORIA BY EXTENTION'!$R$16:$R$17</c:f>
              <c:strCache>
                <c:ptCount val="1"/>
                <c:pt idx="0">
                  <c:v>Sum of SABUN CAIR 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D51-4990-95DB-BFB709B67E1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CD51-4990-95DB-BFB709B67E1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CD51-4990-95DB-BFB709B67E1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CD51-4990-95DB-BFB709B67E1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CD51-4990-95DB-BFB709B67E18}"/>
              </c:ext>
            </c:extLst>
          </c:dPt>
          <c:cat>
            <c:multiLvlStrRef>
              <c:f>'PVT_VICTORIA BY EXTENTION'!$N$18:$O$23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EXTENTION'!$R$18:$R$23</c:f>
              <c:numCache>
                <c:formatCode>_-* #,##0_-;\-* #,##0_-;_-* "-"??_-;_-@_-</c:formatCode>
                <c:ptCount val="5"/>
                <c:pt idx="0">
                  <c:v>1248680785.6666665</c:v>
                </c:pt>
                <c:pt idx="1">
                  <c:v>496920856.70833325</c:v>
                </c:pt>
                <c:pt idx="2">
                  <c:v>268723855.58333331</c:v>
                </c:pt>
                <c:pt idx="3">
                  <c:v>174391272.02083337</c:v>
                </c:pt>
                <c:pt idx="4">
                  <c:v>308644801.35416669</c:v>
                </c:pt>
              </c:numCache>
            </c:numRef>
          </c:val>
          <c:extLst>
            <c:ext xmlns:c16="http://schemas.microsoft.com/office/drawing/2014/chart" uri="{C3380CC4-5D6E-409C-BE32-E72D297353CC}">
              <c16:uniqueId val="{00000020-CD51-4990-95DB-BFB709B67E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[BR_DASHBOARD_MT_AJS BATAM.xlsx]PVT_VICTORIA BY EXTENTION!PivotTable8</c:name>
    <c:fmtId val="26"/>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PERFORMANCE by Extention by Outlet </a:t>
            </a:r>
          </a:p>
          <a:p>
            <a:pPr>
              <a:defRPr sz="2000"/>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(SABUN SCRUB)</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FF00"/>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759259259259259E-2"/>
          <c:y val="0.20374333333333333"/>
          <c:w val="0.53782916666666669"/>
          <c:h val="0.6833677777777778"/>
        </c:manualLayout>
      </c:layout>
      <c:pie3DChart>
        <c:varyColors val="1"/>
        <c:ser>
          <c:idx val="0"/>
          <c:order val="0"/>
          <c:tx>
            <c:strRef>
              <c:f>'PVT_VICTORIA BY EXTENTION'!$V$16:$V$17</c:f>
              <c:strCache>
                <c:ptCount val="1"/>
                <c:pt idx="0">
                  <c:v>Sum of GROWTH SABUN SCRUB</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7FB-406C-8183-B1BADA98901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7FB-406C-8183-B1BADA98901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7FB-406C-8183-B1BADA98901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7FB-406C-8183-B1BADA98901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7FB-406C-8183-B1BADA98901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FF00"/>
                    </a:solidFill>
                    <a:latin typeface="+mn-lt"/>
                    <a:ea typeface="+mn-ea"/>
                    <a:cs typeface="+mn-cs"/>
                  </a:defRPr>
                </a:pPr>
                <a:endParaRPr lang="en-US"/>
              </a:p>
            </c:txPr>
            <c:dLblPos val="bestFit"/>
            <c:showLegendKey val="1"/>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EXTENTION'!$T$18:$U$23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EXTENTION'!$V$18:$V$23</c:f>
              <c:numCache>
                <c:formatCode>0%</c:formatCode>
                <c:ptCount val="5"/>
                <c:pt idx="0">
                  <c:v>-0.24513370352743569</c:v>
                </c:pt>
                <c:pt idx="1">
                  <c:v>-0.29924772613529027</c:v>
                </c:pt>
                <c:pt idx="2">
                  <c:v>-0.31973570781434435</c:v>
                </c:pt>
                <c:pt idx="3">
                  <c:v>-0.36924412101508708</c:v>
                </c:pt>
                <c:pt idx="4">
                  <c:v>0.19701947893406513</c:v>
                </c:pt>
              </c:numCache>
            </c:numRef>
          </c:val>
          <c:extLst>
            <c:ext xmlns:c16="http://schemas.microsoft.com/office/drawing/2014/chart" uri="{C3380CC4-5D6E-409C-BE32-E72D297353CC}">
              <c16:uniqueId val="{0000000A-87FB-406C-8183-B1BADA989014}"/>
            </c:ext>
          </c:extLst>
        </c:ser>
        <c:ser>
          <c:idx val="1"/>
          <c:order val="1"/>
          <c:tx>
            <c:strRef>
              <c:f>'PVT_VICTORIA BY EXTENTION'!$W$16:$W$17</c:f>
              <c:strCache>
                <c:ptCount val="1"/>
                <c:pt idx="0">
                  <c:v>Sum of SABUN SCRUB 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87FB-406C-8183-B1BADA98901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87FB-406C-8183-B1BADA98901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87FB-406C-8183-B1BADA98901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87FB-406C-8183-B1BADA98901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87FB-406C-8183-B1BADA989014}"/>
              </c:ext>
            </c:extLst>
          </c:dPt>
          <c:cat>
            <c:multiLvlStrRef>
              <c:f>'PVT_VICTORIA BY EXTENTION'!$T$18:$U$23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EXTENTION'!$W$18:$W$23</c:f>
              <c:numCache>
                <c:formatCode>_-* #,##0_-;\-* #,##0_-;_-* "-"??_-;_-@_-</c:formatCode>
                <c:ptCount val="5"/>
                <c:pt idx="0">
                  <c:v>92347244.479687512</c:v>
                </c:pt>
                <c:pt idx="1">
                  <c:v>40376193.19500003</c:v>
                </c:pt>
                <c:pt idx="2">
                  <c:v>20083231.773750015</c:v>
                </c:pt>
                <c:pt idx="3">
                  <c:v>11407471.033437502</c:v>
                </c:pt>
                <c:pt idx="4">
                  <c:v>20480348.477500018</c:v>
                </c:pt>
              </c:numCache>
            </c:numRef>
          </c:val>
          <c:extLst>
            <c:ext xmlns:c16="http://schemas.microsoft.com/office/drawing/2014/chart" uri="{C3380CC4-5D6E-409C-BE32-E72D297353CC}">
              <c16:uniqueId val="{00000015-87FB-406C-8183-B1BADA989014}"/>
            </c:ext>
          </c:extLst>
        </c:ser>
        <c:ser>
          <c:idx val="2"/>
          <c:order val="2"/>
          <c:tx>
            <c:strRef>
              <c:f>'PVT_VICTORIA BY EXTENTION'!$X$16:$X$17</c:f>
              <c:strCache>
                <c:ptCount val="1"/>
                <c:pt idx="0">
                  <c:v>Sum of SABUN SCRUB 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87FB-406C-8183-B1BADA98901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87FB-406C-8183-B1BADA98901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87FB-406C-8183-B1BADA98901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87FB-406C-8183-B1BADA98901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87FB-406C-8183-B1BADA989014}"/>
              </c:ext>
            </c:extLst>
          </c:dPt>
          <c:cat>
            <c:multiLvlStrRef>
              <c:f>'PVT_VICTORIA BY EXTENTION'!$T$18:$U$23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EXTENTION'!$X$18:$X$23</c:f>
              <c:numCache>
                <c:formatCode>_-* #,##0_-;\-* #,##0_-;_-* "-"??_-;_-@_-</c:formatCode>
                <c:ptCount val="5"/>
                <c:pt idx="0">
                  <c:v>122335895.65625</c:v>
                </c:pt>
                <c:pt idx="1">
                  <c:v>57618354.875</c:v>
                </c:pt>
                <c:pt idx="2">
                  <c:v>29522689.9375</c:v>
                </c:pt>
                <c:pt idx="3">
                  <c:v>18085397.875</c:v>
                </c:pt>
                <c:pt idx="4">
                  <c:v>17109452.96875</c:v>
                </c:pt>
              </c:numCache>
            </c:numRef>
          </c:val>
          <c:extLst>
            <c:ext xmlns:c16="http://schemas.microsoft.com/office/drawing/2014/chart" uri="{C3380CC4-5D6E-409C-BE32-E72D297353CC}">
              <c16:uniqueId val="{00000020-87FB-406C-8183-B1BADA98901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[BR_DASHBOARD_MT_AJS BATAM.xlsx]PVT_VICTORIA BY EXTENTION!PivotTable4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GROWTH by Total Value</a:t>
            </a:r>
            <a:r>
              <a:rPr lang="en-US" baseline="0"/>
              <a:t> by Outlet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83853408542E-2"/>
          <c:y val="0.2945660984192735"/>
          <c:w val="0.5456241554028135"/>
          <c:h val="0.66572065553603743"/>
        </c:manualLayout>
      </c:layout>
      <c:pieChart>
        <c:varyColors val="1"/>
        <c:ser>
          <c:idx val="0"/>
          <c:order val="0"/>
          <c:tx>
            <c:strRef>
              <c:f>'PVT_VICTORIA BY EXTENTION'!$D$16:$D$17</c:f>
              <c:strCache>
                <c:ptCount val="1"/>
                <c:pt idx="0">
                  <c:v>Sum of GROWTH Grand 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AB0-49FC-809E-562B35CDF93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AB0-49FC-809E-562B35CDF93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AB0-49FC-809E-562B35CDF93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AB0-49FC-809E-562B35CDF93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AB0-49FC-809E-562B35CDF9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EXTENTION'!$B$18:$C$23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EXTENTION'!$D$18:$D$23</c:f>
              <c:numCache>
                <c:formatCode>0%</c:formatCode>
                <c:ptCount val="5"/>
                <c:pt idx="0">
                  <c:v>0.14615526070215323</c:v>
                </c:pt>
                <c:pt idx="1">
                  <c:v>8.2875901064989321E-2</c:v>
                </c:pt>
                <c:pt idx="2">
                  <c:v>0.53125581848101922</c:v>
                </c:pt>
                <c:pt idx="3">
                  <c:v>-6.1875180833412813E-3</c:v>
                </c:pt>
                <c:pt idx="4">
                  <c:v>-1.2873396506144386E-2</c:v>
                </c:pt>
              </c:numCache>
            </c:numRef>
          </c:val>
          <c:extLst>
            <c:ext xmlns:c16="http://schemas.microsoft.com/office/drawing/2014/chart" uri="{C3380CC4-5D6E-409C-BE32-E72D297353CC}">
              <c16:uniqueId val="{0000000A-5AB0-49FC-809E-562B35CDF931}"/>
            </c:ext>
          </c:extLst>
        </c:ser>
        <c:ser>
          <c:idx val="1"/>
          <c:order val="1"/>
          <c:tx>
            <c:strRef>
              <c:f>'PVT_VICTORIA BY EXTENTION'!$E$16:$E$17</c:f>
              <c:strCache>
                <c:ptCount val="1"/>
                <c:pt idx="0">
                  <c:v>Sum of Grand Total 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5AB0-49FC-809E-562B35CDF93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5AB0-49FC-809E-562B35CDF93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5AB0-49FC-809E-562B35CDF93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5AB0-49FC-809E-562B35CDF93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5AB0-49FC-809E-562B35CDF9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EXTENTION'!$B$18:$C$23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EXTENTION'!$E$18:$E$23</c:f>
              <c:numCache>
                <c:formatCode>_-* #,##0_-;\-* #,##0_-;_-* "-"??_-;_-@_-</c:formatCode>
                <c:ptCount val="5"/>
                <c:pt idx="0">
                  <c:v>1870731789.343648</c:v>
                </c:pt>
                <c:pt idx="1">
                  <c:v>708852693.41020477</c:v>
                </c:pt>
                <c:pt idx="2">
                  <c:v>549867111.18541491</c:v>
                </c:pt>
                <c:pt idx="3">
                  <c:v>221681413.51739582</c:v>
                </c:pt>
                <c:pt idx="4">
                  <c:v>390330571.23062468</c:v>
                </c:pt>
              </c:numCache>
            </c:numRef>
          </c:val>
          <c:extLst>
            <c:ext xmlns:c16="http://schemas.microsoft.com/office/drawing/2014/chart" uri="{C3380CC4-5D6E-409C-BE32-E72D297353CC}">
              <c16:uniqueId val="{00000015-5AB0-49FC-809E-562B35CDF931}"/>
            </c:ext>
          </c:extLst>
        </c:ser>
        <c:ser>
          <c:idx val="2"/>
          <c:order val="2"/>
          <c:tx>
            <c:strRef>
              <c:f>'PVT_VICTORIA BY EXTENTION'!$F$16:$F$17</c:f>
              <c:strCache>
                <c:ptCount val="1"/>
                <c:pt idx="0">
                  <c:v>Sum of Grand Total 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5AB0-49FC-809E-562B35CDF93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5AB0-49FC-809E-562B35CDF93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5AB0-49FC-809E-562B35CDF93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5AB0-49FC-809E-562B35CDF93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5AB0-49FC-809E-562B35CDF9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EXTENTION'!$B$18:$C$23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EXTENTION'!$F$18:$F$23</c:f>
              <c:numCache>
                <c:formatCode>_-* #,##0_-;\-* #,##0_-;_-* "-"??_-;_-@_-</c:formatCode>
                <c:ptCount val="5"/>
                <c:pt idx="0">
                  <c:v>1632180083.6979165</c:v>
                </c:pt>
                <c:pt idx="1">
                  <c:v>654601965.66666663</c:v>
                </c:pt>
                <c:pt idx="2">
                  <c:v>359095524.4375</c:v>
                </c:pt>
                <c:pt idx="3">
                  <c:v>223061611.27083334</c:v>
                </c:pt>
                <c:pt idx="4">
                  <c:v>395420982.32291669</c:v>
                </c:pt>
              </c:numCache>
            </c:numRef>
          </c:val>
          <c:extLst>
            <c:ext xmlns:c16="http://schemas.microsoft.com/office/drawing/2014/chart" uri="{C3380CC4-5D6E-409C-BE32-E72D297353CC}">
              <c16:uniqueId val="{00000020-5AB0-49FC-809E-562B35CDF9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563824725688903"/>
          <c:y val="0.32436307755751892"/>
          <c:w val="0.31705034129304627"/>
          <c:h val="0.379101587711372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[BR_DASHBOARD_MT_AJS BATAM.xlsx]PVT_VICTORIA BY EXTENTION!PivotTable6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by</a:t>
            </a:r>
            <a:r>
              <a:rPr lang="en-US" baseline="0"/>
              <a:t> Extention by Outlet </a:t>
            </a:r>
          </a:p>
          <a:p>
            <a:pPr>
              <a:defRPr/>
            </a:pPr>
            <a:r>
              <a:rPr lang="en-US" baseline="0"/>
              <a:t>(BODY LOTION)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'PVT_VICTORIA BY EXTENTION'!$J$16:$J$17</c:f>
              <c:strCache>
                <c:ptCount val="1"/>
                <c:pt idx="0">
                  <c:v>Sum of GROWTH BODY LOTION</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EXTENTION'!$H$18:$I$23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EXTENTION'!$J$18:$J$23</c:f>
              <c:numCache>
                <c:formatCode>0%</c:formatCode>
                <c:ptCount val="5"/>
                <c:pt idx="0">
                  <c:v>-0.13647854607428422</c:v>
                </c:pt>
                <c:pt idx="1">
                  <c:v>-0.20361389258276064</c:v>
                </c:pt>
                <c:pt idx="2">
                  <c:v>-2.5135416895494367E-2</c:v>
                </c:pt>
                <c:pt idx="3">
                  <c:v>-0.17245706729407684</c:v>
                </c:pt>
                <c:pt idx="4">
                  <c:v>-0.10158206654684854</c:v>
                </c:pt>
              </c:numCache>
            </c:numRef>
          </c:val>
          <c:extLst>
            <c:ext xmlns:c16="http://schemas.microsoft.com/office/drawing/2014/chart" uri="{C3380CC4-5D6E-409C-BE32-E72D297353CC}">
              <c16:uniqueId val="{00000000-FED4-4E50-B351-90A50F6F47C1}"/>
            </c:ext>
          </c:extLst>
        </c:ser>
        <c:ser>
          <c:idx val="1"/>
          <c:order val="1"/>
          <c:tx>
            <c:strRef>
              <c:f>'PVT_VICTORIA BY EXTENTION'!$K$16:$K$17</c:f>
              <c:strCache>
                <c:ptCount val="1"/>
                <c:pt idx="0">
                  <c:v>Sum of BODY LOTION 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EXTENTION'!$H$18:$I$23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EXTENTION'!$K$18:$K$23</c:f>
              <c:numCache>
                <c:formatCode>_-* #,##0_-;\-* #,##0_-;_-* "-"??_-;_-@_-</c:formatCode>
                <c:ptCount val="5"/>
                <c:pt idx="0">
                  <c:v>63821371.190624975</c:v>
                </c:pt>
                <c:pt idx="1">
                  <c:v>28182802.847500056</c:v>
                </c:pt>
                <c:pt idx="2">
                  <c:v>19653790.207499992</c:v>
                </c:pt>
                <c:pt idx="3">
                  <c:v>5950181.0749999983</c:v>
                </c:pt>
                <c:pt idx="4">
                  <c:v>10034597.060624991</c:v>
                </c:pt>
              </c:numCache>
            </c:numRef>
          </c:val>
          <c:extLst>
            <c:ext xmlns:c16="http://schemas.microsoft.com/office/drawing/2014/chart" uri="{C3380CC4-5D6E-409C-BE32-E72D297353CC}">
              <c16:uniqueId val="{00000001-FED4-4E50-B351-90A50F6F47C1}"/>
            </c:ext>
          </c:extLst>
        </c:ser>
        <c:ser>
          <c:idx val="2"/>
          <c:order val="2"/>
          <c:tx>
            <c:strRef>
              <c:f>'PVT_VICTORIA BY EXTENTION'!$L$16:$L$17</c:f>
              <c:strCache>
                <c:ptCount val="1"/>
                <c:pt idx="0">
                  <c:v>Sum of BODY LOTION 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EXTENTION'!$H$18:$I$23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EXTENTION'!$L$18:$L$23</c:f>
              <c:numCache>
                <c:formatCode>_-* #,##0_-;\-* #,##0_-;_-* "-"??_-;_-@_-</c:formatCode>
                <c:ptCount val="5"/>
                <c:pt idx="0">
                  <c:v>73908263.541666672</c:v>
                </c:pt>
                <c:pt idx="1">
                  <c:v>35388365.75</c:v>
                </c:pt>
                <c:pt idx="2">
                  <c:v>20160533.625</c:v>
                </c:pt>
                <c:pt idx="3">
                  <c:v>7190178.104166667</c:v>
                </c:pt>
                <c:pt idx="4">
                  <c:v>11169186.062499998</c:v>
                </c:pt>
              </c:numCache>
            </c:numRef>
          </c:val>
          <c:extLst>
            <c:ext xmlns:c16="http://schemas.microsoft.com/office/drawing/2014/chart" uri="{C3380CC4-5D6E-409C-BE32-E72D297353CC}">
              <c16:uniqueId val="{00000002-FED4-4E50-B351-90A50F6F47C1}"/>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[BR_DASHBOARD_MT_AJS BATAM.xlsx]PVT_VICTORIA BY EXTENTION!PivotTable7</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by Extention by Outlet </a:t>
            </a:r>
          </a:p>
          <a:p>
            <a:pPr>
              <a:defRPr/>
            </a:pPr>
            <a:r>
              <a:rPr lang="en-US"/>
              <a:t>(SABUN CAIR)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'PVT_VICTORIA BY EXTENTION'!$P$16:$P$17</c:f>
              <c:strCache>
                <c:ptCount val="1"/>
                <c:pt idx="0">
                  <c:v>Sum of GROWTH SABUN CAIR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EXTENTION'!$N$18:$O$23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EXTENTION'!$P$18:$P$23</c:f>
              <c:numCache>
                <c:formatCode>0%</c:formatCode>
                <c:ptCount val="5"/>
                <c:pt idx="0">
                  <c:v>-7.6097701336503953E-2</c:v>
                </c:pt>
                <c:pt idx="1">
                  <c:v>-4.6437599291345499E-2</c:v>
                </c:pt>
                <c:pt idx="2">
                  <c:v>0.19606935123667357</c:v>
                </c:pt>
                <c:pt idx="3">
                  <c:v>-0.22905316042242307</c:v>
                </c:pt>
                <c:pt idx="4">
                  <c:v>-0.27439168104231682</c:v>
                </c:pt>
              </c:numCache>
            </c:numRef>
          </c:val>
          <c:extLst>
            <c:ext xmlns:c16="http://schemas.microsoft.com/office/drawing/2014/chart" uri="{C3380CC4-5D6E-409C-BE32-E72D297353CC}">
              <c16:uniqueId val="{00000000-BD53-4EF6-BA32-78F72C0237C6}"/>
            </c:ext>
          </c:extLst>
        </c:ser>
        <c:ser>
          <c:idx val="1"/>
          <c:order val="1"/>
          <c:tx>
            <c:strRef>
              <c:f>'PVT_VICTORIA BY EXTENTION'!$Q$16:$Q$17</c:f>
              <c:strCache>
                <c:ptCount val="1"/>
                <c:pt idx="0">
                  <c:v>Sum of SABUN CAIR 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multiLvlStrRef>
              <c:f>'PVT_VICTORIA BY EXTENTION'!$N$18:$O$23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EXTENTION'!$Q$18:$Q$23</c:f>
              <c:numCache>
                <c:formatCode>_-* #,##0_-;\-* #,##0_-;_-* "-"??_-;_-@_-</c:formatCode>
                <c:ptCount val="5"/>
                <c:pt idx="0">
                  <c:v>1153659048.1743734</c:v>
                </c:pt>
                <c:pt idx="1">
                  <c:v>473845045.08499956</c:v>
                </c:pt>
                <c:pt idx="2">
                  <c:v>321412367.60937506</c:v>
                </c:pt>
                <c:pt idx="3">
                  <c:v>134446400.014375</c:v>
                </c:pt>
                <c:pt idx="4">
                  <c:v>223955235.46562496</c:v>
                </c:pt>
              </c:numCache>
            </c:numRef>
          </c:val>
          <c:extLst>
            <c:ext xmlns:c16="http://schemas.microsoft.com/office/drawing/2014/chart" uri="{C3380CC4-5D6E-409C-BE32-E72D297353CC}">
              <c16:uniqueId val="{00000001-BD53-4EF6-BA32-78F72C0237C6}"/>
            </c:ext>
          </c:extLst>
        </c:ser>
        <c:ser>
          <c:idx val="2"/>
          <c:order val="2"/>
          <c:tx>
            <c:strRef>
              <c:f>'PVT_VICTORIA BY EXTENTION'!$R$16:$R$17</c:f>
              <c:strCache>
                <c:ptCount val="1"/>
                <c:pt idx="0">
                  <c:v>Sum of SABUN CAIR 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multiLvlStrRef>
              <c:f>'PVT_VICTORIA BY EXTENTION'!$N$18:$O$23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EXTENTION'!$R$18:$R$23</c:f>
              <c:numCache>
                <c:formatCode>_-* #,##0_-;\-* #,##0_-;_-* "-"??_-;_-@_-</c:formatCode>
                <c:ptCount val="5"/>
                <c:pt idx="0">
                  <c:v>1248680785.6666665</c:v>
                </c:pt>
                <c:pt idx="1">
                  <c:v>496920856.70833325</c:v>
                </c:pt>
                <c:pt idx="2">
                  <c:v>268723855.58333331</c:v>
                </c:pt>
                <c:pt idx="3">
                  <c:v>174391272.02083337</c:v>
                </c:pt>
                <c:pt idx="4">
                  <c:v>308644801.35416669</c:v>
                </c:pt>
              </c:numCache>
            </c:numRef>
          </c:val>
          <c:extLst>
            <c:ext xmlns:c16="http://schemas.microsoft.com/office/drawing/2014/chart" uri="{C3380CC4-5D6E-409C-BE32-E72D297353CC}">
              <c16:uniqueId val="{00000002-BD53-4EF6-BA32-78F72C0237C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[BR_DASHBOARD_MT_AJS BATAM.xlsx]PVT_VICTORIA BY EXTENTION!PivotTable8</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'PVT_VICTORIA BY EXTENTION'!$V$16:$V$17</c:f>
              <c:strCache>
                <c:ptCount val="1"/>
                <c:pt idx="0">
                  <c:v>Sum of GROWTH SABUN SCRUB</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1"/>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'PVT_VICTORIA BY EXTENTION'!$T$18:$U$23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EXTENTION'!$V$18:$V$23</c:f>
              <c:numCache>
                <c:formatCode>0%</c:formatCode>
                <c:ptCount val="5"/>
                <c:pt idx="0">
                  <c:v>-0.24513370352743569</c:v>
                </c:pt>
                <c:pt idx="1">
                  <c:v>-0.29924772613529027</c:v>
                </c:pt>
                <c:pt idx="2">
                  <c:v>-0.31973570781434435</c:v>
                </c:pt>
                <c:pt idx="3">
                  <c:v>-0.36924412101508708</c:v>
                </c:pt>
                <c:pt idx="4">
                  <c:v>0.19701947893406513</c:v>
                </c:pt>
              </c:numCache>
            </c:numRef>
          </c:val>
          <c:extLst>
            <c:ext xmlns:c16="http://schemas.microsoft.com/office/drawing/2014/chart" uri="{C3380CC4-5D6E-409C-BE32-E72D297353CC}">
              <c16:uniqueId val="{00000000-6CE7-4403-A9E0-E221BA65DC25}"/>
            </c:ext>
          </c:extLst>
        </c:ser>
        <c:ser>
          <c:idx val="1"/>
          <c:order val="1"/>
          <c:tx>
            <c:strRef>
              <c:f>'PVT_VICTORIA BY EXTENTION'!$W$16:$W$17</c:f>
              <c:strCache>
                <c:ptCount val="1"/>
                <c:pt idx="0">
                  <c:v>Sum of SABUN SCRUB 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multiLvlStrRef>
              <c:f>'PVT_VICTORIA BY EXTENTION'!$T$18:$U$23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EXTENTION'!$W$18:$W$23</c:f>
              <c:numCache>
                <c:formatCode>_-* #,##0_-;\-* #,##0_-;_-* "-"??_-;_-@_-</c:formatCode>
                <c:ptCount val="5"/>
                <c:pt idx="0">
                  <c:v>92347244.479687512</c:v>
                </c:pt>
                <c:pt idx="1">
                  <c:v>40376193.19500003</c:v>
                </c:pt>
                <c:pt idx="2">
                  <c:v>20083231.773750015</c:v>
                </c:pt>
                <c:pt idx="3">
                  <c:v>11407471.033437502</c:v>
                </c:pt>
                <c:pt idx="4">
                  <c:v>20480348.477500018</c:v>
                </c:pt>
              </c:numCache>
            </c:numRef>
          </c:val>
          <c:extLst>
            <c:ext xmlns:c16="http://schemas.microsoft.com/office/drawing/2014/chart" uri="{C3380CC4-5D6E-409C-BE32-E72D297353CC}">
              <c16:uniqueId val="{00000001-6CE7-4403-A9E0-E221BA65DC25}"/>
            </c:ext>
          </c:extLst>
        </c:ser>
        <c:ser>
          <c:idx val="2"/>
          <c:order val="2"/>
          <c:tx>
            <c:strRef>
              <c:f>'PVT_VICTORIA BY EXTENTION'!$X$16:$X$17</c:f>
              <c:strCache>
                <c:ptCount val="1"/>
                <c:pt idx="0">
                  <c:v>Sum of SABUN SCRUB 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multiLvlStrRef>
              <c:f>'PVT_VICTORIA BY EXTENTION'!$T$18:$U$23</c:f>
              <c:multiLvlStrCache>
                <c:ptCount val="5"/>
                <c:lvl>
                  <c:pt idx="0">
                    <c:v>ALL</c:v>
                  </c:pt>
                  <c:pt idx="1">
                    <c:v>SPM.NEW VICTORIA AVIARI</c:v>
                  </c:pt>
                  <c:pt idx="2">
                    <c:v>CV.VICTORIA FANINDO</c:v>
                  </c:pt>
                  <c:pt idx="3">
                    <c:v>MM.VICTORIA TIBAN</c:v>
                  </c:pt>
                  <c:pt idx="4">
                    <c:v>MM.NEW VICTORIA</c:v>
                  </c:pt>
                </c:lvl>
                <c:lvl>
                  <c:pt idx="0">
                    <c:v>ALL</c:v>
                  </c:pt>
                  <c:pt idx="1">
                    <c:v>MTA00101-10100022</c:v>
                  </c:pt>
                  <c:pt idx="2">
                    <c:v>MTA00101-10100034</c:v>
                  </c:pt>
                  <c:pt idx="3">
                    <c:v>MTA00101-10100036</c:v>
                  </c:pt>
                  <c:pt idx="4">
                    <c:v>MTA00101-10100046</c:v>
                  </c:pt>
                </c:lvl>
              </c:multiLvlStrCache>
            </c:multiLvlStrRef>
          </c:cat>
          <c:val>
            <c:numRef>
              <c:f>'PVT_VICTORIA BY EXTENTION'!$X$18:$X$23</c:f>
              <c:numCache>
                <c:formatCode>_-* #,##0_-;\-* #,##0_-;_-* "-"??_-;_-@_-</c:formatCode>
                <c:ptCount val="5"/>
                <c:pt idx="0">
                  <c:v>122335895.65625</c:v>
                </c:pt>
                <c:pt idx="1">
                  <c:v>57618354.875</c:v>
                </c:pt>
                <c:pt idx="2">
                  <c:v>29522689.9375</c:v>
                </c:pt>
                <c:pt idx="3">
                  <c:v>18085397.875</c:v>
                </c:pt>
                <c:pt idx="4">
                  <c:v>17109452.96875</c:v>
                </c:pt>
              </c:numCache>
            </c:numRef>
          </c:val>
          <c:extLst>
            <c:ext xmlns:c16="http://schemas.microsoft.com/office/drawing/2014/chart" uri="{C3380CC4-5D6E-409C-BE32-E72D297353CC}">
              <c16:uniqueId val="{00000002-6CE7-4403-A9E0-E221BA65DC2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59</xdr:col>
      <xdr:colOff>0</xdr:colOff>
      <xdr:row>0</xdr:row>
      <xdr:rowOff>86035</xdr:rowOff>
    </xdr:from>
    <xdr:to>
      <xdr:col>68</xdr:col>
      <xdr:colOff>0</xdr:colOff>
      <xdr:row>23</xdr:row>
      <xdr:rowOff>86034</xdr:rowOff>
    </xdr:to>
    <xdr:sp macro="" textlink="">
      <xdr:nvSpPr>
        <xdr:cNvPr id="34" name="Frame 33">
          <a:extLst>
            <a:ext uri="{FF2B5EF4-FFF2-40B4-BE49-F238E27FC236}">
              <a16:creationId xmlns:a16="http://schemas.microsoft.com/office/drawing/2014/main" id="{BF3B3D93-E615-A045-A81F-6AE8E6A6849F}"/>
            </a:ext>
          </a:extLst>
        </xdr:cNvPr>
        <xdr:cNvSpPr/>
      </xdr:nvSpPr>
      <xdr:spPr>
        <a:xfrm>
          <a:off x="35966400" y="86035"/>
          <a:ext cx="14584680" cy="7818119"/>
        </a:xfrm>
        <a:prstGeom prst="frame">
          <a:avLst>
            <a:gd name="adj1" fmla="val 23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tx1"/>
            </a:solidFill>
          </a:endParaRPr>
        </a:p>
      </xdr:txBody>
    </xdr:sp>
    <xdr:clientData/>
  </xdr:twoCellAnchor>
  <xdr:twoCellAnchor>
    <xdr:from>
      <xdr:col>1</xdr:col>
      <xdr:colOff>0</xdr:colOff>
      <xdr:row>1</xdr:row>
      <xdr:rowOff>0</xdr:rowOff>
    </xdr:from>
    <xdr:to>
      <xdr:col>37</xdr:col>
      <xdr:colOff>0</xdr:colOff>
      <xdr:row>59</xdr:row>
      <xdr:rowOff>0</xdr:rowOff>
    </xdr:to>
    <xdr:grpSp>
      <xdr:nvGrpSpPr>
        <xdr:cNvPr id="39" name="Group 38">
          <a:extLst>
            <a:ext uri="{FF2B5EF4-FFF2-40B4-BE49-F238E27FC236}">
              <a16:creationId xmlns:a16="http://schemas.microsoft.com/office/drawing/2014/main" id="{3A4ECD01-95FF-01E9-B001-86B702EB8841}"/>
            </a:ext>
          </a:extLst>
        </xdr:cNvPr>
        <xdr:cNvGrpSpPr/>
      </xdr:nvGrpSpPr>
      <xdr:grpSpPr>
        <a:xfrm>
          <a:off x="612098" y="187377"/>
          <a:ext cx="22035541" cy="14240656"/>
          <a:chOff x="614516" y="184355"/>
          <a:chExt cx="21428027" cy="10402644"/>
        </a:xfrm>
      </xdr:grpSpPr>
      <mc:AlternateContent xmlns:mc="http://schemas.openxmlformats.org/markup-compatibility/2006">
        <mc:Choice xmlns:sle15="http://schemas.microsoft.com/office/drawing/2012/slicer" Requires="sle15">
          <xdr:graphicFrame macro="">
            <xdr:nvGraphicFramePr>
              <xdr:cNvPr id="2" name="CUST-GROUP">
                <a:extLst>
                  <a:ext uri="{FF2B5EF4-FFF2-40B4-BE49-F238E27FC236}">
                    <a16:creationId xmlns:a16="http://schemas.microsoft.com/office/drawing/2014/main" id="{13C2DD81-F3B4-4D57-9807-D6F674850A4A}"/>
                  </a:ext>
                </a:extLst>
              </xdr:cNvPr>
              <xdr:cNvGraphicFramePr/>
            </xdr:nvGraphicFramePr>
            <xdr:xfrm>
              <a:off x="614516" y="184355"/>
              <a:ext cx="4678608" cy="3240000"/>
            </xdr:xfrm>
            <a:graphic>
              <a:graphicData uri="http://schemas.microsoft.com/office/drawing/2010/slicer">
                <sle:slicer xmlns:sle="http://schemas.microsoft.com/office/drawing/2010/slicer" name="CUST-GROUP"/>
              </a:graphicData>
            </a:graphic>
          </xdr:graphicFrame>
        </mc:Choice>
        <mc:Fallback>
          <xdr:sp macro="" textlink="">
            <xdr:nvSpPr>
              <xdr:cNvPr id="0" name=""/>
              <xdr:cNvSpPr>
                <a:spLocks noTextEdit="1"/>
              </xdr:cNvSpPr>
            </xdr:nvSpPr>
            <xdr:spPr>
              <a:xfrm>
                <a:off x="612098" y="187377"/>
                <a:ext cx="4811253"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3" name="RANK 2026">
                <a:extLst>
                  <a:ext uri="{FF2B5EF4-FFF2-40B4-BE49-F238E27FC236}">
                    <a16:creationId xmlns:a16="http://schemas.microsoft.com/office/drawing/2014/main" id="{FB358564-0B25-49DD-99D3-C922C392B6D8}"/>
                  </a:ext>
                </a:extLst>
              </xdr:cNvPr>
              <xdr:cNvGraphicFramePr/>
            </xdr:nvGraphicFramePr>
            <xdr:xfrm>
              <a:off x="5318371" y="184355"/>
              <a:ext cx="1830432" cy="3240000"/>
            </xdr:xfrm>
            <a:graphic>
              <a:graphicData uri="http://schemas.microsoft.com/office/drawing/2010/slicer">
                <sle:slicer xmlns:sle="http://schemas.microsoft.com/office/drawing/2010/slicer" name="RANK 2026"/>
              </a:graphicData>
            </a:graphic>
          </xdr:graphicFrame>
        </mc:Choice>
        <mc:Fallback>
          <xdr:sp macro="" textlink="">
            <xdr:nvSpPr>
              <xdr:cNvPr id="0" name=""/>
              <xdr:cNvSpPr>
                <a:spLocks noTextEdit="1"/>
              </xdr:cNvSpPr>
            </xdr:nvSpPr>
            <xdr:spPr>
              <a:xfrm>
                <a:off x="5449314" y="187377"/>
                <a:ext cx="1882327"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4" name="CUSTNAME_DIST">
                <a:extLst>
                  <a:ext uri="{FF2B5EF4-FFF2-40B4-BE49-F238E27FC236}">
                    <a16:creationId xmlns:a16="http://schemas.microsoft.com/office/drawing/2014/main" id="{2CAEC11F-784F-4F9A-9F3B-373E6E6F5078}"/>
                  </a:ext>
                </a:extLst>
              </xdr:cNvPr>
              <xdr:cNvGraphicFramePr/>
            </xdr:nvGraphicFramePr>
            <xdr:xfrm>
              <a:off x="614516" y="3453966"/>
              <a:ext cx="3729000" cy="7128000"/>
            </xdr:xfrm>
            <a:graphic>
              <a:graphicData uri="http://schemas.microsoft.com/office/drawing/2010/slicer">
                <sle:slicer xmlns:sle="http://schemas.microsoft.com/office/drawing/2010/slicer" name="CUSTNAME_DIST"/>
              </a:graphicData>
            </a:graphic>
          </xdr:graphicFrame>
        </mc:Choice>
        <mc:Fallback>
          <xdr:sp macro="" textlink="">
            <xdr:nvSpPr>
              <xdr:cNvPr id="0" name=""/>
              <xdr:cNvSpPr>
                <a:spLocks noTextEdit="1"/>
              </xdr:cNvSpPr>
            </xdr:nvSpPr>
            <xdr:spPr>
              <a:xfrm>
                <a:off x="612098" y="4663297"/>
                <a:ext cx="3834722" cy="9757846"/>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5" name="CUSTNO_DIST">
                <a:extLst>
                  <a:ext uri="{FF2B5EF4-FFF2-40B4-BE49-F238E27FC236}">
                    <a16:creationId xmlns:a16="http://schemas.microsoft.com/office/drawing/2014/main" id="{B5065C09-F25E-4516-BF39-AE1CD69301BE}"/>
                  </a:ext>
                </a:extLst>
              </xdr:cNvPr>
              <xdr:cNvGraphicFramePr/>
            </xdr:nvGraphicFramePr>
            <xdr:xfrm>
              <a:off x="16437206" y="184355"/>
              <a:ext cx="2649000" cy="3240000"/>
            </xdr:xfrm>
            <a:graphic>
              <a:graphicData uri="http://schemas.microsoft.com/office/drawing/2010/slicer">
                <sle:slicer xmlns:sle="http://schemas.microsoft.com/office/drawing/2010/slicer" name="CUSTNO_DIST"/>
              </a:graphicData>
            </a:graphic>
          </xdr:graphicFrame>
        </mc:Choice>
        <mc:Fallback>
          <xdr:sp macro="" textlink="">
            <xdr:nvSpPr>
              <xdr:cNvPr id="0" name=""/>
              <xdr:cNvSpPr>
                <a:spLocks noTextEdit="1"/>
              </xdr:cNvSpPr>
            </xdr:nvSpPr>
            <xdr:spPr>
              <a:xfrm>
                <a:off x="16883383" y="187377"/>
                <a:ext cx="2724103"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6" name="TOTAL FY 2025">
                <a:extLst>
                  <a:ext uri="{FF2B5EF4-FFF2-40B4-BE49-F238E27FC236}">
                    <a16:creationId xmlns:a16="http://schemas.microsoft.com/office/drawing/2014/main" id="{A12D9A7A-24D5-4A4E-8013-3FF102D645F5}"/>
                  </a:ext>
                </a:extLst>
              </xdr:cNvPr>
              <xdr:cNvGraphicFramePr/>
            </xdr:nvGraphicFramePr>
            <xdr:xfrm>
              <a:off x="10877789" y="184355"/>
              <a:ext cx="1830433" cy="3240000"/>
            </xdr:xfrm>
            <a:graphic>
              <a:graphicData uri="http://schemas.microsoft.com/office/drawing/2010/slicer">
                <sle:slicer xmlns:sle="http://schemas.microsoft.com/office/drawing/2010/slicer" name="TOTAL FY 2025"/>
              </a:graphicData>
            </a:graphic>
          </xdr:graphicFrame>
        </mc:Choice>
        <mc:Fallback>
          <xdr:sp macro="" textlink="">
            <xdr:nvSpPr>
              <xdr:cNvPr id="0" name=""/>
              <xdr:cNvSpPr>
                <a:spLocks noTextEdit="1"/>
              </xdr:cNvSpPr>
            </xdr:nvSpPr>
            <xdr:spPr>
              <a:xfrm>
                <a:off x="11166349" y="187377"/>
                <a:ext cx="1882328"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7" name="AVG FY 25">
                <a:extLst>
                  <a:ext uri="{FF2B5EF4-FFF2-40B4-BE49-F238E27FC236}">
                    <a16:creationId xmlns:a16="http://schemas.microsoft.com/office/drawing/2014/main" id="{DBC32B5F-3DAE-4413-BF41-4C429471281F}"/>
                  </a:ext>
                </a:extLst>
              </xdr:cNvPr>
              <xdr:cNvGraphicFramePr/>
            </xdr:nvGraphicFramePr>
            <xdr:xfrm>
              <a:off x="12733469" y="184355"/>
              <a:ext cx="1822811" cy="3240000"/>
            </xdr:xfrm>
            <a:graphic>
              <a:graphicData uri="http://schemas.microsoft.com/office/drawing/2010/slicer">
                <sle:slicer xmlns:sle="http://schemas.microsoft.com/office/drawing/2010/slicer" name="AVG FY 25"/>
              </a:graphicData>
            </a:graphic>
          </xdr:graphicFrame>
        </mc:Choice>
        <mc:Fallback>
          <xdr:sp macro="" textlink="">
            <xdr:nvSpPr>
              <xdr:cNvPr id="0" name=""/>
              <xdr:cNvSpPr>
                <a:spLocks noTextEdit="1"/>
              </xdr:cNvSpPr>
            </xdr:nvSpPr>
            <xdr:spPr>
              <a:xfrm>
                <a:off x="13074640" y="187377"/>
                <a:ext cx="1874490"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8" name="RANK 2025">
                <a:extLst>
                  <a:ext uri="{FF2B5EF4-FFF2-40B4-BE49-F238E27FC236}">
                    <a16:creationId xmlns:a16="http://schemas.microsoft.com/office/drawing/2014/main" id="{8AFE8EFE-5CCE-4C08-AE54-8C3D59FD5EBE}"/>
                  </a:ext>
                </a:extLst>
              </xdr:cNvPr>
              <xdr:cNvGraphicFramePr/>
            </xdr:nvGraphicFramePr>
            <xdr:xfrm>
              <a:off x="7174050" y="184355"/>
              <a:ext cx="1822813" cy="3240000"/>
            </xdr:xfrm>
            <a:graphic>
              <a:graphicData uri="http://schemas.microsoft.com/office/drawing/2010/slicer">
                <sle:slicer xmlns:sle="http://schemas.microsoft.com/office/drawing/2010/slicer" name="RANK 2025"/>
              </a:graphicData>
            </a:graphic>
          </xdr:graphicFrame>
        </mc:Choice>
        <mc:Fallback>
          <xdr:sp macro="" textlink="">
            <xdr:nvSpPr>
              <xdr:cNvPr id="0" name=""/>
              <xdr:cNvSpPr>
                <a:spLocks noTextEdit="1"/>
              </xdr:cNvSpPr>
            </xdr:nvSpPr>
            <xdr:spPr>
              <a:xfrm>
                <a:off x="7357604" y="187377"/>
                <a:ext cx="1874492"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9" name="AVG FY 24">
                <a:extLst>
                  <a:ext uri="{FF2B5EF4-FFF2-40B4-BE49-F238E27FC236}">
                    <a16:creationId xmlns:a16="http://schemas.microsoft.com/office/drawing/2014/main" id="{59C6D732-16A4-4DAF-9BA6-D14CB1E11425}"/>
                  </a:ext>
                </a:extLst>
              </xdr:cNvPr>
              <xdr:cNvGraphicFramePr/>
            </xdr:nvGraphicFramePr>
            <xdr:xfrm>
              <a:off x="14581527" y="184355"/>
              <a:ext cx="1830432" cy="3240000"/>
            </xdr:xfrm>
            <a:graphic>
              <a:graphicData uri="http://schemas.microsoft.com/office/drawing/2010/slicer">
                <sle:slicer xmlns:sle="http://schemas.microsoft.com/office/drawing/2010/slicer" name="AVG FY 24"/>
              </a:graphicData>
            </a:graphic>
          </xdr:graphicFrame>
        </mc:Choice>
        <mc:Fallback>
          <xdr:sp macro="" textlink="">
            <xdr:nvSpPr>
              <xdr:cNvPr id="0" name=""/>
              <xdr:cNvSpPr>
                <a:spLocks noTextEdit="1"/>
              </xdr:cNvSpPr>
            </xdr:nvSpPr>
            <xdr:spPr>
              <a:xfrm>
                <a:off x="14975093" y="187377"/>
                <a:ext cx="1882327"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0" name="RANK 2024">
                <a:extLst>
                  <a:ext uri="{FF2B5EF4-FFF2-40B4-BE49-F238E27FC236}">
                    <a16:creationId xmlns:a16="http://schemas.microsoft.com/office/drawing/2014/main" id="{EB305839-35BF-4F0B-BB97-567BBB4CF81C}"/>
                  </a:ext>
                </a:extLst>
              </xdr:cNvPr>
              <xdr:cNvGraphicFramePr/>
            </xdr:nvGraphicFramePr>
            <xdr:xfrm>
              <a:off x="9022110" y="184355"/>
              <a:ext cx="1830432" cy="3240000"/>
            </xdr:xfrm>
            <a:graphic>
              <a:graphicData uri="http://schemas.microsoft.com/office/drawing/2010/slicer">
                <sle:slicer xmlns:sle="http://schemas.microsoft.com/office/drawing/2010/slicer" name="RANK 2024"/>
              </a:graphicData>
            </a:graphic>
          </xdr:graphicFrame>
        </mc:Choice>
        <mc:Fallback>
          <xdr:sp macro="" textlink="">
            <xdr:nvSpPr>
              <xdr:cNvPr id="0" name=""/>
              <xdr:cNvSpPr>
                <a:spLocks noTextEdit="1"/>
              </xdr:cNvSpPr>
            </xdr:nvSpPr>
            <xdr:spPr>
              <a:xfrm>
                <a:off x="9258059" y="187377"/>
                <a:ext cx="1882327"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1" name="FY 25 VS FY 24">
                <a:extLst>
                  <a:ext uri="{FF2B5EF4-FFF2-40B4-BE49-F238E27FC236}">
                    <a16:creationId xmlns:a16="http://schemas.microsoft.com/office/drawing/2014/main" id="{4FAD35CA-946C-416C-AC18-F6C29E61630E}"/>
                  </a:ext>
                </a:extLst>
              </xdr:cNvPr>
              <xdr:cNvGraphicFramePr/>
            </xdr:nvGraphicFramePr>
            <xdr:xfrm>
              <a:off x="4324558" y="3453966"/>
              <a:ext cx="3555300" cy="3780000"/>
            </xdr:xfrm>
            <a:graphic>
              <a:graphicData uri="http://schemas.microsoft.com/office/drawing/2010/slicer">
                <sle:slicer xmlns:sle="http://schemas.microsoft.com/office/drawing/2010/slicer" name="FY 25 VS FY 24"/>
              </a:graphicData>
            </a:graphic>
          </xdr:graphicFrame>
        </mc:Choice>
        <mc:Fallback>
          <xdr:sp macro="" textlink="">
            <xdr:nvSpPr>
              <xdr:cNvPr id="0" name=""/>
              <xdr:cNvSpPr>
                <a:spLocks noTextEdit="1"/>
              </xdr:cNvSpPr>
            </xdr:nvSpPr>
            <xdr:spPr>
              <a:xfrm>
                <a:off x="4427325" y="4663297"/>
                <a:ext cx="3656098" cy="517461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2" name="GROWTH JAN 26">
                <a:extLst>
                  <a:ext uri="{FF2B5EF4-FFF2-40B4-BE49-F238E27FC236}">
                    <a16:creationId xmlns:a16="http://schemas.microsoft.com/office/drawing/2014/main" id="{DDC779D5-FFF8-4D10-AD5D-3445D5D10082}"/>
                  </a:ext>
                </a:extLst>
              </xdr:cNvPr>
              <xdr:cNvGraphicFramePr/>
            </xdr:nvGraphicFramePr>
            <xdr:xfrm>
              <a:off x="7860900" y="3453966"/>
              <a:ext cx="3555300" cy="3780000"/>
            </xdr:xfrm>
            <a:graphic>
              <a:graphicData uri="http://schemas.microsoft.com/office/drawing/2010/slicer">
                <sle:slicer xmlns:sle="http://schemas.microsoft.com/office/drawing/2010/slicer" name="GROWTH JAN 26"/>
              </a:graphicData>
            </a:graphic>
          </xdr:graphicFrame>
        </mc:Choice>
        <mc:Fallback>
          <xdr:sp macro="" textlink="">
            <xdr:nvSpPr>
              <xdr:cNvPr id="0" name=""/>
              <xdr:cNvSpPr>
                <a:spLocks noTextEdit="1"/>
              </xdr:cNvSpPr>
            </xdr:nvSpPr>
            <xdr:spPr>
              <a:xfrm>
                <a:off x="8063927" y="4663297"/>
                <a:ext cx="3656098" cy="517461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3" name="GROWTH  BY GROUP JAN 26">
                <a:extLst>
                  <a:ext uri="{FF2B5EF4-FFF2-40B4-BE49-F238E27FC236}">
                    <a16:creationId xmlns:a16="http://schemas.microsoft.com/office/drawing/2014/main" id="{38A87026-5EAD-4EE6-82C4-A8E4C91EFBA5}"/>
                  </a:ext>
                </a:extLst>
              </xdr:cNvPr>
              <xdr:cNvGraphicFramePr/>
            </xdr:nvGraphicFramePr>
            <xdr:xfrm>
              <a:off x="14933584" y="3453966"/>
              <a:ext cx="3555304" cy="3780000"/>
            </xdr:xfrm>
            <a:graphic>
              <a:graphicData uri="http://schemas.microsoft.com/office/drawing/2010/slicer">
                <sle:slicer xmlns:sle="http://schemas.microsoft.com/office/drawing/2010/slicer" name="GROWTH  BY GROUP JAN 26"/>
              </a:graphicData>
            </a:graphic>
          </xdr:graphicFrame>
        </mc:Choice>
        <mc:Fallback>
          <xdr:sp macro="" textlink="">
            <xdr:nvSpPr>
              <xdr:cNvPr id="0" name=""/>
              <xdr:cNvSpPr>
                <a:spLocks noTextEdit="1"/>
              </xdr:cNvSpPr>
            </xdr:nvSpPr>
            <xdr:spPr>
              <a:xfrm>
                <a:off x="15337131" y="4663297"/>
                <a:ext cx="3656102" cy="517461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4" name="GROWTH FEB 26">
                <a:extLst>
                  <a:ext uri="{FF2B5EF4-FFF2-40B4-BE49-F238E27FC236}">
                    <a16:creationId xmlns:a16="http://schemas.microsoft.com/office/drawing/2014/main" id="{732B72AE-DC3A-464C-8504-36C826A7C207}"/>
                  </a:ext>
                </a:extLst>
              </xdr:cNvPr>
              <xdr:cNvGraphicFramePr/>
            </xdr:nvGraphicFramePr>
            <xdr:xfrm>
              <a:off x="11397242" y="3453966"/>
              <a:ext cx="3555300" cy="3780000"/>
            </xdr:xfrm>
            <a:graphic>
              <a:graphicData uri="http://schemas.microsoft.com/office/drawing/2010/slicer">
                <sle:slicer xmlns:sle="http://schemas.microsoft.com/office/drawing/2010/slicer" name="GROWTH FEB 26"/>
              </a:graphicData>
            </a:graphic>
          </xdr:graphicFrame>
        </mc:Choice>
        <mc:Fallback>
          <xdr:sp macro="" textlink="">
            <xdr:nvSpPr>
              <xdr:cNvPr id="0" name=""/>
              <xdr:cNvSpPr>
                <a:spLocks noTextEdit="1"/>
              </xdr:cNvSpPr>
            </xdr:nvSpPr>
            <xdr:spPr>
              <a:xfrm>
                <a:off x="11700529" y="4663297"/>
                <a:ext cx="3656098" cy="517461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5" name="GROWTH  BY GROUP FEB 26">
                <a:extLst>
                  <a:ext uri="{FF2B5EF4-FFF2-40B4-BE49-F238E27FC236}">
                    <a16:creationId xmlns:a16="http://schemas.microsoft.com/office/drawing/2014/main" id="{DF2274EC-CB2E-4237-BD4D-D571BA20C94B}"/>
                  </a:ext>
                </a:extLst>
              </xdr:cNvPr>
              <xdr:cNvGraphicFramePr/>
            </xdr:nvGraphicFramePr>
            <xdr:xfrm>
              <a:off x="18469928" y="3453966"/>
              <a:ext cx="3555304" cy="3780000"/>
            </xdr:xfrm>
            <a:graphic>
              <a:graphicData uri="http://schemas.microsoft.com/office/drawing/2010/slicer">
                <sle:slicer xmlns:sle="http://schemas.microsoft.com/office/drawing/2010/slicer" name="GROWTH  BY GROUP FEB 26"/>
              </a:graphicData>
            </a:graphic>
          </xdr:graphicFrame>
        </mc:Choice>
        <mc:Fallback>
          <xdr:sp macro="" textlink="">
            <xdr:nvSpPr>
              <xdr:cNvPr id="0" name=""/>
              <xdr:cNvSpPr>
                <a:spLocks noTextEdit="1"/>
              </xdr:cNvSpPr>
            </xdr:nvSpPr>
            <xdr:spPr>
              <a:xfrm>
                <a:off x="18973735" y="4663297"/>
                <a:ext cx="3656102" cy="517461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6" name="PARETO SKU 2025">
                <a:extLst>
                  <a:ext uri="{FF2B5EF4-FFF2-40B4-BE49-F238E27FC236}">
                    <a16:creationId xmlns:a16="http://schemas.microsoft.com/office/drawing/2014/main" id="{AA8634C2-5F95-4D4B-B525-39C86DD96238}"/>
                  </a:ext>
                </a:extLst>
              </xdr:cNvPr>
              <xdr:cNvGraphicFramePr/>
            </xdr:nvGraphicFramePr>
            <xdr:xfrm>
              <a:off x="4349747" y="7238999"/>
              <a:ext cx="3058727" cy="3348000"/>
            </xdr:xfrm>
            <a:graphic>
              <a:graphicData uri="http://schemas.microsoft.com/office/drawing/2010/slicer">
                <sle:slicer xmlns:sle="http://schemas.microsoft.com/office/drawing/2010/slicer" name="PARETO SKU 2025"/>
              </a:graphicData>
            </a:graphic>
          </xdr:graphicFrame>
        </mc:Choice>
        <mc:Fallback>
          <xdr:sp macro="" textlink="">
            <xdr:nvSpPr>
              <xdr:cNvPr id="0" name=""/>
              <xdr:cNvSpPr>
                <a:spLocks noTextEdit="1"/>
              </xdr:cNvSpPr>
            </xdr:nvSpPr>
            <xdr:spPr>
              <a:xfrm>
                <a:off x="4453228" y="9844802"/>
                <a:ext cx="3145446" cy="4583231"/>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7" name="(-) PARETO SKU 2025">
                <a:extLst>
                  <a:ext uri="{FF2B5EF4-FFF2-40B4-BE49-F238E27FC236}">
                    <a16:creationId xmlns:a16="http://schemas.microsoft.com/office/drawing/2014/main" id="{AFFCD819-A023-4022-9DCE-1A35F278A967}"/>
                  </a:ext>
                </a:extLst>
              </xdr:cNvPr>
              <xdr:cNvGraphicFramePr/>
            </xdr:nvGraphicFramePr>
            <xdr:xfrm>
              <a:off x="7463865" y="7238999"/>
              <a:ext cx="3058728" cy="3348000"/>
            </xdr:xfrm>
            <a:graphic>
              <a:graphicData uri="http://schemas.microsoft.com/office/drawing/2010/slicer">
                <sle:slicer xmlns:sle="http://schemas.microsoft.com/office/drawing/2010/slicer" name="(-) PARETO SKU 2025"/>
              </a:graphicData>
            </a:graphic>
          </xdr:graphicFrame>
        </mc:Choice>
        <mc:Fallback>
          <xdr:sp macro="" textlink="">
            <xdr:nvSpPr>
              <xdr:cNvPr id="0" name=""/>
              <xdr:cNvSpPr>
                <a:spLocks noTextEdit="1"/>
              </xdr:cNvSpPr>
            </xdr:nvSpPr>
            <xdr:spPr>
              <a:xfrm>
                <a:off x="7655635" y="9844802"/>
                <a:ext cx="3145447" cy="4583231"/>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8" name="PARETO SKU JAN 2026">
                <a:extLst>
                  <a:ext uri="{FF2B5EF4-FFF2-40B4-BE49-F238E27FC236}">
                    <a16:creationId xmlns:a16="http://schemas.microsoft.com/office/drawing/2014/main" id="{AA3145E0-54D3-4270-B1EA-54BF0732D5D5}"/>
                  </a:ext>
                </a:extLst>
              </xdr:cNvPr>
              <xdr:cNvGraphicFramePr/>
            </xdr:nvGraphicFramePr>
            <xdr:xfrm>
              <a:off x="10553404" y="7238999"/>
              <a:ext cx="2849178" cy="3348000"/>
            </xdr:xfrm>
            <a:graphic>
              <a:graphicData uri="http://schemas.microsoft.com/office/drawing/2010/slicer">
                <sle:slicer xmlns:sle="http://schemas.microsoft.com/office/drawing/2010/slicer" name="PARETO SKU JAN 2026"/>
              </a:graphicData>
            </a:graphic>
          </xdr:graphicFrame>
        </mc:Choice>
        <mc:Fallback>
          <xdr:sp macro="" textlink="">
            <xdr:nvSpPr>
              <xdr:cNvPr id="0" name=""/>
              <xdr:cNvSpPr>
                <a:spLocks noTextEdit="1"/>
              </xdr:cNvSpPr>
            </xdr:nvSpPr>
            <xdr:spPr>
              <a:xfrm>
                <a:off x="10832767" y="9844802"/>
                <a:ext cx="2929956" cy="4583231"/>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19" name="(-) PARETO SKU JAN 2026">
                <a:extLst>
                  <a:ext uri="{FF2B5EF4-FFF2-40B4-BE49-F238E27FC236}">
                    <a16:creationId xmlns:a16="http://schemas.microsoft.com/office/drawing/2014/main" id="{B0587B2C-B344-41AC-9985-ED82B02E0D12}"/>
                  </a:ext>
                </a:extLst>
              </xdr:cNvPr>
              <xdr:cNvGraphicFramePr/>
            </xdr:nvGraphicFramePr>
            <xdr:xfrm>
              <a:off x="13433393" y="7238999"/>
              <a:ext cx="2849175" cy="3348000"/>
            </xdr:xfrm>
            <a:graphic>
              <a:graphicData uri="http://schemas.microsoft.com/office/drawing/2010/slicer">
                <sle:slicer xmlns:sle="http://schemas.microsoft.com/office/drawing/2010/slicer" name="(-) PARETO SKU JAN 2026"/>
              </a:graphicData>
            </a:graphic>
          </xdr:graphicFrame>
        </mc:Choice>
        <mc:Fallback>
          <xdr:sp macro="" textlink="">
            <xdr:nvSpPr>
              <xdr:cNvPr id="0" name=""/>
              <xdr:cNvSpPr>
                <a:spLocks noTextEdit="1"/>
              </xdr:cNvSpPr>
            </xdr:nvSpPr>
            <xdr:spPr>
              <a:xfrm>
                <a:off x="13794408" y="9844802"/>
                <a:ext cx="2929953" cy="4583231"/>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20" name="PARETO SKU FEB 2026">
                <a:extLst>
                  <a:ext uri="{FF2B5EF4-FFF2-40B4-BE49-F238E27FC236}">
                    <a16:creationId xmlns:a16="http://schemas.microsoft.com/office/drawing/2014/main" id="{0656C383-0CCE-40CC-99E7-A0834CB2FDE9}"/>
                  </a:ext>
                </a:extLst>
              </xdr:cNvPr>
              <xdr:cNvGraphicFramePr/>
            </xdr:nvGraphicFramePr>
            <xdr:xfrm>
              <a:off x="16313379" y="7238999"/>
              <a:ext cx="2849178" cy="3348000"/>
            </xdr:xfrm>
            <a:graphic>
              <a:graphicData uri="http://schemas.microsoft.com/office/drawing/2010/slicer">
                <sle:slicer xmlns:sle="http://schemas.microsoft.com/office/drawing/2010/slicer" name="PARETO SKU FEB 2026"/>
              </a:graphicData>
            </a:graphic>
          </xdr:graphicFrame>
        </mc:Choice>
        <mc:Fallback>
          <xdr:sp macro="" textlink="">
            <xdr:nvSpPr>
              <xdr:cNvPr id="0" name=""/>
              <xdr:cNvSpPr>
                <a:spLocks noTextEdit="1"/>
              </xdr:cNvSpPr>
            </xdr:nvSpPr>
            <xdr:spPr>
              <a:xfrm>
                <a:off x="16756045" y="9844802"/>
                <a:ext cx="2929956" cy="4583231"/>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21" name="(-) PARETO SKU FEB 2026">
                <a:extLst>
                  <a:ext uri="{FF2B5EF4-FFF2-40B4-BE49-F238E27FC236}">
                    <a16:creationId xmlns:a16="http://schemas.microsoft.com/office/drawing/2014/main" id="{2E234D87-4C87-4620-A4D5-6D677484BEF8}"/>
                  </a:ext>
                </a:extLst>
              </xdr:cNvPr>
              <xdr:cNvGraphicFramePr/>
            </xdr:nvGraphicFramePr>
            <xdr:xfrm>
              <a:off x="19193367" y="7238999"/>
              <a:ext cx="2849176" cy="3348000"/>
            </xdr:xfrm>
            <a:graphic>
              <a:graphicData uri="http://schemas.microsoft.com/office/drawing/2010/slicer">
                <sle:slicer xmlns:sle="http://schemas.microsoft.com/office/drawing/2010/slicer" name="(-) PARETO SKU FEB 2026"/>
              </a:graphicData>
            </a:graphic>
          </xdr:graphicFrame>
        </mc:Choice>
        <mc:Fallback>
          <xdr:sp macro="" textlink="">
            <xdr:nvSpPr>
              <xdr:cNvPr id="0" name=""/>
              <xdr:cNvSpPr>
                <a:spLocks noTextEdit="1"/>
              </xdr:cNvSpPr>
            </xdr:nvSpPr>
            <xdr:spPr>
              <a:xfrm>
                <a:off x="19717685" y="9844802"/>
                <a:ext cx="2929954" cy="4583231"/>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38" name="GROWTH FY 25 BY GROUP">
                <a:extLst>
                  <a:ext uri="{FF2B5EF4-FFF2-40B4-BE49-F238E27FC236}">
                    <a16:creationId xmlns:a16="http://schemas.microsoft.com/office/drawing/2014/main" id="{A3673733-4D49-4197-94F9-E957BC98729D}"/>
                  </a:ext>
                </a:extLst>
              </xdr:cNvPr>
              <xdr:cNvGraphicFramePr/>
            </xdr:nvGraphicFramePr>
            <xdr:xfrm>
              <a:off x="19111450" y="184355"/>
              <a:ext cx="2901000" cy="3240000"/>
            </xdr:xfrm>
            <a:graphic>
              <a:graphicData uri="http://schemas.microsoft.com/office/drawing/2010/slicer">
                <sle:slicer xmlns:sle="http://schemas.microsoft.com/office/drawing/2010/slicer" name="GROWTH FY 25 BY GROUP"/>
              </a:graphicData>
            </a:graphic>
          </xdr:graphicFrame>
        </mc:Choice>
        <mc:Fallback>
          <xdr:sp macro="" textlink="">
            <xdr:nvSpPr>
              <xdr:cNvPr id="0" name=""/>
              <xdr:cNvSpPr>
                <a:spLocks noTextEdit="1"/>
              </xdr:cNvSpPr>
            </xdr:nvSpPr>
            <xdr:spPr>
              <a:xfrm>
                <a:off x="19633445" y="187377"/>
                <a:ext cx="2983247" cy="443538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twoCellAnchor>
    <xdr:from>
      <xdr:col>37</xdr:col>
      <xdr:colOff>261291</xdr:colOff>
      <xdr:row>2</xdr:row>
      <xdr:rowOff>-1</xdr:rowOff>
    </xdr:from>
    <xdr:to>
      <xdr:col>58</xdr:col>
      <xdr:colOff>334839</xdr:colOff>
      <xdr:row>60</xdr:row>
      <xdr:rowOff>115160</xdr:rowOff>
    </xdr:to>
    <xdr:grpSp>
      <xdr:nvGrpSpPr>
        <xdr:cNvPr id="26" name="Group 25">
          <a:extLst>
            <a:ext uri="{FF2B5EF4-FFF2-40B4-BE49-F238E27FC236}">
              <a16:creationId xmlns:a16="http://schemas.microsoft.com/office/drawing/2014/main" id="{C051174D-5AE5-3DBD-FFF7-614D38349DF9}"/>
            </a:ext>
          </a:extLst>
        </xdr:cNvPr>
        <xdr:cNvGrpSpPr/>
      </xdr:nvGrpSpPr>
      <xdr:grpSpPr>
        <a:xfrm>
          <a:off x="22908930" y="374753"/>
          <a:ext cx="12927614" cy="14355817"/>
          <a:chOff x="22998388" y="368709"/>
          <a:chExt cx="12978386" cy="10807741"/>
        </a:xfrm>
      </xdr:grpSpPr>
      <xdr:graphicFrame macro="">
        <xdr:nvGraphicFramePr>
          <xdr:cNvPr id="22" name="Chart 21">
            <a:extLst>
              <a:ext uri="{FF2B5EF4-FFF2-40B4-BE49-F238E27FC236}">
                <a16:creationId xmlns:a16="http://schemas.microsoft.com/office/drawing/2014/main" id="{C78B6806-D4E7-4BE3-9347-2A6E4484B923}"/>
              </a:ext>
            </a:extLst>
          </xdr:cNvPr>
          <xdr:cNvGraphicFramePr>
            <a:graphicFrameLocks/>
          </xdr:cNvGraphicFramePr>
        </xdr:nvGraphicFramePr>
        <xdr:xfrm>
          <a:off x="22998388" y="368709"/>
          <a:ext cx="6480000" cy="540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a:extLst>
              <a:ext uri="{FF2B5EF4-FFF2-40B4-BE49-F238E27FC236}">
                <a16:creationId xmlns:a16="http://schemas.microsoft.com/office/drawing/2014/main" id="{ADF4EB4F-0833-4CA1-AD0A-76CC76982800}"/>
              </a:ext>
            </a:extLst>
          </xdr:cNvPr>
          <xdr:cNvGraphicFramePr>
            <a:graphicFrameLocks/>
          </xdr:cNvGraphicFramePr>
        </xdr:nvGraphicFramePr>
        <xdr:xfrm>
          <a:off x="29496774" y="5776450"/>
          <a:ext cx="6480000" cy="54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4" name="Chart 23">
            <a:extLst>
              <a:ext uri="{FF2B5EF4-FFF2-40B4-BE49-F238E27FC236}">
                <a16:creationId xmlns:a16="http://schemas.microsoft.com/office/drawing/2014/main" id="{CD3AF055-39EC-433A-9401-5DDC00185267}"/>
              </a:ext>
            </a:extLst>
          </xdr:cNvPr>
          <xdr:cNvGraphicFramePr>
            <a:graphicFrameLocks/>
          </xdr:cNvGraphicFramePr>
        </xdr:nvGraphicFramePr>
        <xdr:xfrm>
          <a:off x="29496774" y="368710"/>
          <a:ext cx="6480000" cy="5400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5" name="Chart 24">
            <a:extLst>
              <a:ext uri="{FF2B5EF4-FFF2-40B4-BE49-F238E27FC236}">
                <a16:creationId xmlns:a16="http://schemas.microsoft.com/office/drawing/2014/main" id="{7302DB95-788A-4CAC-A42A-2B378F26135D}"/>
              </a:ext>
            </a:extLst>
          </xdr:cNvPr>
          <xdr:cNvGraphicFramePr>
            <a:graphicFrameLocks/>
          </xdr:cNvGraphicFramePr>
        </xdr:nvGraphicFramePr>
        <xdr:xfrm>
          <a:off x="22998388" y="5776450"/>
          <a:ext cx="6480000" cy="5400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24</xdr:row>
      <xdr:rowOff>0</xdr:rowOff>
    </xdr:from>
    <xdr:to>
      <xdr:col>5</xdr:col>
      <xdr:colOff>920931</xdr:colOff>
      <xdr:row>49</xdr:row>
      <xdr:rowOff>76200</xdr:rowOff>
    </xdr:to>
    <xdr:graphicFrame macro="">
      <xdr:nvGraphicFramePr>
        <xdr:cNvPr id="4" name="Chart 3">
          <a:extLst>
            <a:ext uri="{FF2B5EF4-FFF2-40B4-BE49-F238E27FC236}">
              <a16:creationId xmlns:a16="http://schemas.microsoft.com/office/drawing/2014/main" id="{822A13A9-3052-4E2F-B8E7-11BFADEC3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22866</xdr:colOff>
      <xdr:row>24</xdr:row>
      <xdr:rowOff>3810</xdr:rowOff>
    </xdr:from>
    <xdr:to>
      <xdr:col>10</xdr:col>
      <xdr:colOff>1013460</xdr:colOff>
      <xdr:row>46</xdr:row>
      <xdr:rowOff>91440</xdr:rowOff>
    </xdr:to>
    <xdr:graphicFrame macro="">
      <xdr:nvGraphicFramePr>
        <xdr:cNvPr id="5" name="Chart 4">
          <a:extLst>
            <a:ext uri="{FF2B5EF4-FFF2-40B4-BE49-F238E27FC236}">
              <a16:creationId xmlns:a16="http://schemas.microsoft.com/office/drawing/2014/main" id="{B4EA7E2C-F5A2-2F20-16F1-488413210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24</xdr:row>
      <xdr:rowOff>0</xdr:rowOff>
    </xdr:from>
    <xdr:to>
      <xdr:col>17</xdr:col>
      <xdr:colOff>0</xdr:colOff>
      <xdr:row>48</xdr:row>
      <xdr:rowOff>0</xdr:rowOff>
    </xdr:to>
    <xdr:graphicFrame macro="">
      <xdr:nvGraphicFramePr>
        <xdr:cNvPr id="6" name="Chart 5">
          <a:extLst>
            <a:ext uri="{FF2B5EF4-FFF2-40B4-BE49-F238E27FC236}">
              <a16:creationId xmlns:a16="http://schemas.microsoft.com/office/drawing/2014/main" id="{289DDFF2-E523-8938-A43A-0C1DCDD52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15240</xdr:colOff>
      <xdr:row>24</xdr:row>
      <xdr:rowOff>41910</xdr:rowOff>
    </xdr:from>
    <xdr:to>
      <xdr:col>22</xdr:col>
      <xdr:colOff>0</xdr:colOff>
      <xdr:row>43</xdr:row>
      <xdr:rowOff>68580</xdr:rowOff>
    </xdr:to>
    <xdr:graphicFrame macro="">
      <xdr:nvGraphicFramePr>
        <xdr:cNvPr id="7" name="Chart 6">
          <a:extLst>
            <a:ext uri="{FF2B5EF4-FFF2-40B4-BE49-F238E27FC236}">
              <a16:creationId xmlns:a16="http://schemas.microsoft.com/office/drawing/2014/main" id="{CABD0D48-05D3-D998-370A-8D3713A4D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FRN\REPORT\MASTER%20CUSTOMER%20-%20DASHBOARD\DASHBOARD%20BATAM\DASHBOARD%20FEBRUARI%202026\DASHBOARD%20MONITORING_AJS%20BATAM_BY%20SALESMAN%20(UPDATE%20FEB%202026).xlsx" TargetMode="External"/><Relationship Id="rId1" Type="http://schemas.openxmlformats.org/officeDocument/2006/relationships/externalLinkPath" Target="DASHBOARD%20BATAM/DASHBOARD%20FEBRUARI%202026/DASHBOARD%20MONITORING_AJS%20BATAM_BY%20SALESMAN%20(UPDATE%20FEB%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CUSTOMER FOKDIS_R6-3"/>
      <sheetName val="DB_BATAM - GT_BY KP"/>
      <sheetName val="SUMMARY - GT"/>
      <sheetName val="HISTORI ACTIVE SKU 2025"/>
      <sheetName val="DB_LKA_SYAIFUL"/>
      <sheetName val="SUMMARY MT 2025"/>
      <sheetName val="RDS"/>
      <sheetName val="2024"/>
      <sheetName val="dashboard_SYAIFUL"/>
      <sheetName val="MT- FOKDIS (CLOSING JAN26)"/>
      <sheetName val="D1 - HISTORY SPG CONTR"/>
      <sheetName val="D2 - ANALYSIS BY CATEGORY"/>
      <sheetName val="D3 - REKAP SEWA &amp; CR"/>
      <sheetName val="D4 - VISIBILITY (SEWA)"/>
      <sheetName val="D5 - VISIBILITY (NON SEWA)"/>
      <sheetName val="D6 - SUMMARY EVALUASI SPG BY TL"/>
      <sheetName val="D7 - TRAFFIC &amp; STC"/>
      <sheetName val="D8 - MAPPING SPG"/>
      <sheetName val="dashboard_FERIS"/>
      <sheetName val="dashboard_ILHAM"/>
      <sheetName val="dashboard_MAHARANI"/>
      <sheetName val="dashboard_SALES MIX"/>
      <sheetName val="EC(OA)- FOKDIS (CLOSING JAN26)"/>
      <sheetName val="SUMMARY"/>
      <sheetName val="STANDPRO"/>
      <sheetName val="HISTORY &amp; PLAN (SCRUB + FW)"/>
      <sheetName val="CONTOH - FORMAT PIVOT - GT"/>
    </sheetNames>
    <sheetDataSet>
      <sheetData sheetId="0"/>
      <sheetData sheetId="1"/>
      <sheetData sheetId="2"/>
      <sheetData sheetId="3"/>
      <sheetData sheetId="4"/>
      <sheetData sheetId="5"/>
      <sheetData sheetId="6"/>
      <sheetData sheetId="7"/>
      <sheetData sheetId="8">
        <row r="4">
          <cell r="E4" t="str">
            <v>MTA00101-10100026</v>
          </cell>
          <cell r="F4" t="str">
            <v>PT.KURNIAPHILEO SELARAS  DC MALL</v>
          </cell>
          <cell r="G4">
            <v>34536404.923220471</v>
          </cell>
          <cell r="H4">
            <v>32679624.360464875</v>
          </cell>
          <cell r="I4" t="str">
            <v>BASELINE DIBAWAH AVG 2025</v>
          </cell>
          <cell r="J4">
            <v>40508729.988993026</v>
          </cell>
          <cell r="K4">
            <v>13495853.274375001</v>
          </cell>
          <cell r="L4" t="str">
            <v>DIBAWAH BASELINE</v>
          </cell>
          <cell r="P4">
            <v>0</v>
          </cell>
          <cell r="Q4">
            <v>1</v>
          </cell>
          <cell r="R4">
            <v>1</v>
          </cell>
          <cell r="S4">
            <v>1</v>
          </cell>
          <cell r="T4">
            <v>1</v>
          </cell>
          <cell r="U4">
            <v>0</v>
          </cell>
          <cell r="V4">
            <v>0</v>
          </cell>
          <cell r="W4">
            <v>1</v>
          </cell>
          <cell r="X4">
            <v>1</v>
          </cell>
          <cell r="Y4">
            <v>0</v>
          </cell>
          <cell r="Z4">
            <v>0</v>
          </cell>
          <cell r="AA4">
            <v>0</v>
          </cell>
          <cell r="AB4">
            <v>1</v>
          </cell>
          <cell r="AC4">
            <v>1</v>
          </cell>
          <cell r="AD4">
            <v>1</v>
          </cell>
          <cell r="AE4">
            <v>1</v>
          </cell>
          <cell r="AF4">
            <v>1</v>
          </cell>
          <cell r="AG4">
            <v>1</v>
          </cell>
          <cell r="AH4">
            <v>1</v>
          </cell>
          <cell r="AI4">
            <v>1</v>
          </cell>
          <cell r="AJ4">
            <v>1</v>
          </cell>
          <cell r="AK4">
            <v>0</v>
          </cell>
          <cell r="AL4">
            <v>1</v>
          </cell>
          <cell r="AM4">
            <v>1</v>
          </cell>
          <cell r="AN4">
            <v>1</v>
          </cell>
          <cell r="AO4">
            <v>0</v>
          </cell>
          <cell r="AP4">
            <v>1</v>
          </cell>
          <cell r="AQ4">
            <v>1</v>
          </cell>
          <cell r="AR4">
            <v>1</v>
          </cell>
          <cell r="AS4">
            <v>1</v>
          </cell>
          <cell r="AT4">
            <v>1</v>
          </cell>
          <cell r="AU4">
            <v>0</v>
          </cell>
          <cell r="AV4">
            <v>0</v>
          </cell>
          <cell r="AW4">
            <v>0</v>
          </cell>
          <cell r="AX4">
            <v>0</v>
          </cell>
          <cell r="AY4">
            <v>23</v>
          </cell>
          <cell r="AZ4">
            <v>12</v>
          </cell>
          <cell r="BA4">
            <v>18</v>
          </cell>
          <cell r="BB4">
            <v>17</v>
          </cell>
          <cell r="BC4"/>
          <cell r="BE4"/>
          <cell r="BF4">
            <v>0</v>
          </cell>
          <cell r="BG4">
            <v>1</v>
          </cell>
          <cell r="BH4">
            <v>0</v>
          </cell>
          <cell r="BI4">
            <v>1</v>
          </cell>
          <cell r="BJ4">
            <v>0</v>
          </cell>
          <cell r="BK4">
            <v>0</v>
          </cell>
          <cell r="BL4">
            <v>0</v>
          </cell>
          <cell r="BM4">
            <v>1</v>
          </cell>
          <cell r="BN4">
            <v>1</v>
          </cell>
          <cell r="BO4">
            <v>0</v>
          </cell>
          <cell r="BP4">
            <v>0</v>
          </cell>
          <cell r="BQ4">
            <v>0</v>
          </cell>
          <cell r="BR4">
            <v>1</v>
          </cell>
          <cell r="BS4">
            <v>1</v>
          </cell>
          <cell r="BT4">
            <v>0</v>
          </cell>
          <cell r="BU4">
            <v>0</v>
          </cell>
          <cell r="BV4">
            <v>1</v>
          </cell>
          <cell r="BW4">
            <v>1</v>
          </cell>
          <cell r="BX4">
            <v>1</v>
          </cell>
          <cell r="BY4">
            <v>1</v>
          </cell>
          <cell r="BZ4">
            <v>0</v>
          </cell>
          <cell r="CA4">
            <v>1</v>
          </cell>
          <cell r="CB4">
            <v>1</v>
          </cell>
          <cell r="CC4">
            <v>0</v>
          </cell>
          <cell r="CD4">
            <v>1</v>
          </cell>
          <cell r="CE4">
            <v>1</v>
          </cell>
          <cell r="CF4">
            <v>0</v>
          </cell>
          <cell r="CG4">
            <v>0</v>
          </cell>
          <cell r="CH4">
            <v>0</v>
          </cell>
          <cell r="CI4">
            <v>0</v>
          </cell>
          <cell r="CJ4">
            <v>0</v>
          </cell>
          <cell r="CK4">
            <v>0</v>
          </cell>
          <cell r="CL4">
            <v>0</v>
          </cell>
          <cell r="CM4">
            <v>1</v>
          </cell>
          <cell r="CN4">
            <v>0</v>
          </cell>
          <cell r="CO4">
            <v>15</v>
          </cell>
          <cell r="CP4">
            <v>20</v>
          </cell>
        </row>
        <row r="5">
          <cell r="E5" t="str">
            <v>MTA00101-10100024</v>
          </cell>
          <cell r="F5" t="str">
            <v>PT.ZERO TOTAL</v>
          </cell>
          <cell r="G5">
            <v>2430285.1789062507</v>
          </cell>
          <cell r="H5">
            <v>2494326.5880208337</v>
          </cell>
          <cell r="I5" t="str">
            <v>MAINTAIN</v>
          </cell>
          <cell r="J5">
            <v>2622409.4062500005</v>
          </cell>
          <cell r="K5">
            <v>1168108.5975000001</v>
          </cell>
          <cell r="L5" t="str">
            <v>DIBAWAH BASELINE</v>
          </cell>
          <cell r="P5">
            <v>0</v>
          </cell>
          <cell r="Q5">
            <v>0</v>
          </cell>
          <cell r="R5">
            <v>0</v>
          </cell>
          <cell r="S5">
            <v>0</v>
          </cell>
          <cell r="T5">
            <v>0</v>
          </cell>
          <cell r="U5">
            <v>0</v>
          </cell>
          <cell r="V5">
            <v>0</v>
          </cell>
          <cell r="W5">
            <v>1</v>
          </cell>
          <cell r="X5">
            <v>1</v>
          </cell>
          <cell r="Y5">
            <v>0</v>
          </cell>
          <cell r="Z5">
            <v>0</v>
          </cell>
          <cell r="AA5">
            <v>0</v>
          </cell>
          <cell r="AB5">
            <v>0</v>
          </cell>
          <cell r="AC5">
            <v>0</v>
          </cell>
          <cell r="AD5">
            <v>1</v>
          </cell>
          <cell r="AE5">
            <v>0</v>
          </cell>
          <cell r="AF5">
            <v>0</v>
          </cell>
          <cell r="AG5">
            <v>1</v>
          </cell>
          <cell r="AH5">
            <v>1</v>
          </cell>
          <cell r="AI5">
            <v>1</v>
          </cell>
          <cell r="AJ5">
            <v>1</v>
          </cell>
          <cell r="AK5">
            <v>0</v>
          </cell>
          <cell r="AL5">
            <v>1</v>
          </cell>
          <cell r="AM5">
            <v>1</v>
          </cell>
          <cell r="AN5">
            <v>0</v>
          </cell>
          <cell r="AO5">
            <v>0</v>
          </cell>
          <cell r="AP5">
            <v>0</v>
          </cell>
          <cell r="AQ5">
            <v>1</v>
          </cell>
          <cell r="AR5">
            <v>0</v>
          </cell>
          <cell r="AS5">
            <v>1</v>
          </cell>
          <cell r="AT5">
            <v>0</v>
          </cell>
          <cell r="AU5">
            <v>0</v>
          </cell>
          <cell r="AV5">
            <v>0</v>
          </cell>
          <cell r="AW5">
            <v>0</v>
          </cell>
          <cell r="AX5">
            <v>0</v>
          </cell>
          <cell r="AY5">
            <v>11</v>
          </cell>
          <cell r="AZ5">
            <v>24</v>
          </cell>
          <cell r="BA5">
            <v>5</v>
          </cell>
          <cell r="BB5">
            <v>30</v>
          </cell>
          <cell r="BC5"/>
          <cell r="BE5"/>
          <cell r="BF5">
            <v>0</v>
          </cell>
          <cell r="BG5">
            <v>0</v>
          </cell>
          <cell r="BH5">
            <v>0</v>
          </cell>
          <cell r="BI5">
            <v>0</v>
          </cell>
          <cell r="BJ5">
            <v>0</v>
          </cell>
          <cell r="BK5">
            <v>0</v>
          </cell>
          <cell r="BL5">
            <v>0</v>
          </cell>
          <cell r="BM5">
            <v>0</v>
          </cell>
          <cell r="BN5">
            <v>1</v>
          </cell>
          <cell r="BO5">
            <v>0</v>
          </cell>
          <cell r="BP5">
            <v>0</v>
          </cell>
          <cell r="BQ5">
            <v>0</v>
          </cell>
          <cell r="BR5">
            <v>0</v>
          </cell>
          <cell r="BS5">
            <v>0</v>
          </cell>
          <cell r="BT5">
            <v>0</v>
          </cell>
          <cell r="BU5">
            <v>0</v>
          </cell>
          <cell r="BV5">
            <v>0</v>
          </cell>
          <cell r="BW5">
            <v>1</v>
          </cell>
          <cell r="BX5">
            <v>1</v>
          </cell>
          <cell r="BY5">
            <v>1</v>
          </cell>
          <cell r="BZ5">
            <v>0</v>
          </cell>
          <cell r="CA5">
            <v>0</v>
          </cell>
          <cell r="CB5">
            <v>1</v>
          </cell>
          <cell r="CC5">
            <v>0</v>
          </cell>
          <cell r="CD5">
            <v>0</v>
          </cell>
          <cell r="CE5">
            <v>0</v>
          </cell>
          <cell r="CF5">
            <v>0</v>
          </cell>
          <cell r="CG5">
            <v>0</v>
          </cell>
          <cell r="CH5">
            <v>0</v>
          </cell>
          <cell r="CI5">
            <v>0</v>
          </cell>
          <cell r="CJ5">
            <v>0</v>
          </cell>
          <cell r="CK5">
            <v>0</v>
          </cell>
          <cell r="CL5">
            <v>1</v>
          </cell>
          <cell r="CM5">
            <v>0</v>
          </cell>
          <cell r="CN5">
            <v>0</v>
          </cell>
          <cell r="CO5">
            <v>6</v>
          </cell>
          <cell r="CP5">
            <v>29</v>
          </cell>
        </row>
        <row r="6">
          <cell r="E6" t="str">
            <v>MTA00101-10100056</v>
          </cell>
          <cell r="F6" t="str">
            <v>MM.OHS MART</v>
          </cell>
          <cell r="G6">
            <v>2265438.94921875</v>
          </cell>
          <cell r="H6">
            <v>1510292.6328125</v>
          </cell>
          <cell r="I6" t="str">
            <v>BASELINE DIBAWAH AVG 2025</v>
          </cell>
          <cell r="J6">
            <v>3358025.0803124998</v>
          </cell>
          <cell r="K6">
            <v>0</v>
          </cell>
          <cell r="L6" t="str">
            <v>BELUM TRANSAKSI</v>
          </cell>
          <cell r="P6">
            <v>0</v>
          </cell>
          <cell r="Q6">
            <v>0</v>
          </cell>
          <cell r="R6">
            <v>0</v>
          </cell>
          <cell r="S6">
            <v>0</v>
          </cell>
          <cell r="T6">
            <v>0</v>
          </cell>
          <cell r="U6">
            <v>0</v>
          </cell>
          <cell r="V6">
            <v>0</v>
          </cell>
          <cell r="W6">
            <v>1</v>
          </cell>
          <cell r="X6">
            <v>1</v>
          </cell>
          <cell r="Y6">
            <v>0</v>
          </cell>
          <cell r="Z6">
            <v>0</v>
          </cell>
          <cell r="AA6">
            <v>1</v>
          </cell>
          <cell r="AB6">
            <v>1</v>
          </cell>
          <cell r="AC6">
            <v>1</v>
          </cell>
          <cell r="AD6">
            <v>1</v>
          </cell>
          <cell r="AE6">
            <v>1</v>
          </cell>
          <cell r="AF6">
            <v>1</v>
          </cell>
          <cell r="AG6">
            <v>1</v>
          </cell>
          <cell r="AH6">
            <v>1</v>
          </cell>
          <cell r="AI6">
            <v>1</v>
          </cell>
          <cell r="AJ6">
            <v>1</v>
          </cell>
          <cell r="AK6">
            <v>0</v>
          </cell>
          <cell r="AL6">
            <v>1</v>
          </cell>
          <cell r="AM6">
            <v>1</v>
          </cell>
          <cell r="AN6">
            <v>1</v>
          </cell>
          <cell r="AO6">
            <v>0</v>
          </cell>
          <cell r="AP6">
            <v>0</v>
          </cell>
          <cell r="AQ6">
            <v>0</v>
          </cell>
          <cell r="AR6">
            <v>0</v>
          </cell>
          <cell r="AS6">
            <v>0</v>
          </cell>
          <cell r="AT6">
            <v>0</v>
          </cell>
          <cell r="AU6">
            <v>0</v>
          </cell>
          <cell r="AV6">
            <v>0</v>
          </cell>
          <cell r="AW6">
            <v>0</v>
          </cell>
          <cell r="AX6">
            <v>0</v>
          </cell>
          <cell r="AY6">
            <v>15</v>
          </cell>
          <cell r="AZ6">
            <v>20</v>
          </cell>
          <cell r="BA6">
            <v>6</v>
          </cell>
          <cell r="BB6">
            <v>29</v>
          </cell>
          <cell r="BC6"/>
          <cell r="BE6"/>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35</v>
          </cell>
        </row>
        <row r="7">
          <cell r="E7" t="str">
            <v>MTA00101-10100060</v>
          </cell>
          <cell r="F7" t="str">
            <v>MM.ASEN</v>
          </cell>
          <cell r="G7">
            <v>11096.0915625</v>
          </cell>
          <cell r="H7">
            <v>2419739.1241203705</v>
          </cell>
          <cell r="I7" t="str">
            <v>MAINTAIN</v>
          </cell>
          <cell r="J7">
            <v>7237025.189236111</v>
          </cell>
          <cell r="K7">
            <v>0</v>
          </cell>
          <cell r="L7" t="str">
            <v>BELUM TRANSAKSI</v>
          </cell>
          <cell r="P7">
            <v>0</v>
          </cell>
          <cell r="Q7">
            <v>0</v>
          </cell>
          <cell r="R7">
            <v>1</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1</v>
          </cell>
          <cell r="AU7">
            <v>0</v>
          </cell>
          <cell r="AV7">
            <v>0</v>
          </cell>
          <cell r="AW7">
            <v>0</v>
          </cell>
          <cell r="AX7">
            <v>0</v>
          </cell>
          <cell r="AY7">
            <v>2</v>
          </cell>
          <cell r="AZ7">
            <v>33</v>
          </cell>
          <cell r="BA7">
            <v>0</v>
          </cell>
          <cell r="BB7">
            <v>35</v>
          </cell>
          <cell r="BC7"/>
          <cell r="BE7"/>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35</v>
          </cell>
        </row>
        <row r="8">
          <cell r="E8" t="str">
            <v>MTA00101-10100058</v>
          </cell>
          <cell r="F8" t="str">
            <v>PT.SENTOSA NIAGA LESTARI</v>
          </cell>
          <cell r="G8">
            <v>8664682.7579166647</v>
          </cell>
          <cell r="H8">
            <v>7475263.7737962948</v>
          </cell>
          <cell r="I8" t="str">
            <v>BASELINE DIBAWAH AVG 2025</v>
          </cell>
          <cell r="J8">
            <v>11576036.245937496</v>
          </cell>
          <cell r="K8">
            <v>10598284.805</v>
          </cell>
          <cell r="L8" t="str">
            <v>BELUM CAPAI TARGET</v>
          </cell>
          <cell r="P8">
            <v>0</v>
          </cell>
          <cell r="Q8">
            <v>0</v>
          </cell>
          <cell r="R8">
            <v>0</v>
          </cell>
          <cell r="S8">
            <v>0</v>
          </cell>
          <cell r="T8">
            <v>0</v>
          </cell>
          <cell r="U8">
            <v>0</v>
          </cell>
          <cell r="V8">
            <v>0</v>
          </cell>
          <cell r="W8">
            <v>1</v>
          </cell>
          <cell r="X8">
            <v>1</v>
          </cell>
          <cell r="Y8">
            <v>0</v>
          </cell>
          <cell r="Z8">
            <v>0</v>
          </cell>
          <cell r="AA8">
            <v>1</v>
          </cell>
          <cell r="AB8">
            <v>0</v>
          </cell>
          <cell r="AC8">
            <v>0</v>
          </cell>
          <cell r="AD8">
            <v>1</v>
          </cell>
          <cell r="AE8">
            <v>0</v>
          </cell>
          <cell r="AF8">
            <v>1</v>
          </cell>
          <cell r="AG8">
            <v>1</v>
          </cell>
          <cell r="AH8">
            <v>1</v>
          </cell>
          <cell r="AI8">
            <v>1</v>
          </cell>
          <cell r="AJ8">
            <v>1</v>
          </cell>
          <cell r="AK8">
            <v>1</v>
          </cell>
          <cell r="AL8">
            <v>1</v>
          </cell>
          <cell r="AM8">
            <v>1</v>
          </cell>
          <cell r="AN8">
            <v>0</v>
          </cell>
          <cell r="AO8">
            <v>0</v>
          </cell>
          <cell r="AP8">
            <v>0</v>
          </cell>
          <cell r="AQ8">
            <v>1</v>
          </cell>
          <cell r="AR8">
            <v>0</v>
          </cell>
          <cell r="AS8">
            <v>1</v>
          </cell>
          <cell r="AT8">
            <v>1</v>
          </cell>
          <cell r="AU8">
            <v>0</v>
          </cell>
          <cell r="AV8">
            <v>0</v>
          </cell>
          <cell r="AW8">
            <v>0</v>
          </cell>
          <cell r="AX8">
            <v>0</v>
          </cell>
          <cell r="AY8">
            <v>15</v>
          </cell>
          <cell r="AZ8">
            <v>20</v>
          </cell>
          <cell r="BA8">
            <v>14</v>
          </cell>
          <cell r="BB8">
            <v>21</v>
          </cell>
          <cell r="BC8"/>
          <cell r="BE8"/>
          <cell r="BF8">
            <v>0</v>
          </cell>
          <cell r="BG8">
            <v>0</v>
          </cell>
          <cell r="BH8">
            <v>0</v>
          </cell>
          <cell r="BI8">
            <v>0</v>
          </cell>
          <cell r="BJ8">
            <v>0</v>
          </cell>
          <cell r="BK8">
            <v>0</v>
          </cell>
          <cell r="BL8">
            <v>0</v>
          </cell>
          <cell r="BM8">
            <v>0</v>
          </cell>
          <cell r="BN8">
            <v>1</v>
          </cell>
          <cell r="BO8">
            <v>0</v>
          </cell>
          <cell r="BP8">
            <v>0</v>
          </cell>
          <cell r="BQ8">
            <v>1</v>
          </cell>
          <cell r="BR8">
            <v>0</v>
          </cell>
          <cell r="BS8">
            <v>0</v>
          </cell>
          <cell r="BT8">
            <v>0</v>
          </cell>
          <cell r="BU8">
            <v>0</v>
          </cell>
          <cell r="BV8">
            <v>0</v>
          </cell>
          <cell r="BW8">
            <v>0</v>
          </cell>
          <cell r="BX8">
            <v>1</v>
          </cell>
          <cell r="BY8">
            <v>1</v>
          </cell>
          <cell r="BZ8">
            <v>0</v>
          </cell>
          <cell r="CA8">
            <v>1</v>
          </cell>
          <cell r="CB8">
            <v>1</v>
          </cell>
          <cell r="CC8">
            <v>1</v>
          </cell>
          <cell r="CD8">
            <v>1</v>
          </cell>
          <cell r="CE8">
            <v>1</v>
          </cell>
          <cell r="CF8">
            <v>0</v>
          </cell>
          <cell r="CG8">
            <v>0</v>
          </cell>
          <cell r="CH8">
            <v>0</v>
          </cell>
          <cell r="CI8">
            <v>0</v>
          </cell>
          <cell r="CJ8">
            <v>0</v>
          </cell>
          <cell r="CK8">
            <v>0</v>
          </cell>
          <cell r="CL8">
            <v>0</v>
          </cell>
          <cell r="CM8">
            <v>1</v>
          </cell>
          <cell r="CN8">
            <v>0</v>
          </cell>
          <cell r="CO8">
            <v>10</v>
          </cell>
          <cell r="CP8">
            <v>25</v>
          </cell>
        </row>
        <row r="9">
          <cell r="E9" t="str">
            <v>MTA00101-10100065</v>
          </cell>
          <cell r="F9" t="str">
            <v>OS.BATAM ONLINE SUPERMARKET</v>
          </cell>
          <cell r="G9">
            <v>1539.0402083333336</v>
          </cell>
          <cell r="H9">
            <v>18340.842777777772</v>
          </cell>
          <cell r="I9" t="str">
            <v>MAINTAIN</v>
          </cell>
          <cell r="J9">
            <v>51944.447916666657</v>
          </cell>
          <cell r="K9">
            <v>0</v>
          </cell>
          <cell r="L9" t="str">
            <v>BELUM TRANSAKSI</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35</v>
          </cell>
          <cell r="BA9">
            <v>0</v>
          </cell>
          <cell r="BB9">
            <v>35</v>
          </cell>
          <cell r="BC9"/>
          <cell r="BE9"/>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35</v>
          </cell>
        </row>
        <row r="10">
          <cell r="E10" t="str">
            <v>MTA00101-10100011</v>
          </cell>
          <cell r="F10" t="str">
            <v>CV.CENTRAL ERA SUKSES</v>
          </cell>
          <cell r="G10">
            <v>10782101.183836801</v>
          </cell>
          <cell r="H10">
            <v>10131030.17493055</v>
          </cell>
          <cell r="I10" t="str">
            <v>BASELINE DIBAWAH AVG 2025</v>
          </cell>
          <cell r="J10">
            <v>11241891.857187495</v>
          </cell>
          <cell r="K10">
            <v>5709819.8237499995</v>
          </cell>
          <cell r="L10" t="str">
            <v>DIBAWAH BASELINE</v>
          </cell>
          <cell r="P10">
            <v>0</v>
          </cell>
          <cell r="Q10">
            <v>1</v>
          </cell>
          <cell r="R10">
            <v>1</v>
          </cell>
          <cell r="S10">
            <v>1</v>
          </cell>
          <cell r="T10">
            <v>1</v>
          </cell>
          <cell r="U10">
            <v>0</v>
          </cell>
          <cell r="V10">
            <v>0</v>
          </cell>
          <cell r="W10">
            <v>1</v>
          </cell>
          <cell r="X10">
            <v>1</v>
          </cell>
          <cell r="Y10">
            <v>0</v>
          </cell>
          <cell r="Z10">
            <v>0</v>
          </cell>
          <cell r="AA10">
            <v>1</v>
          </cell>
          <cell r="AB10">
            <v>1</v>
          </cell>
          <cell r="AC10">
            <v>1</v>
          </cell>
          <cell r="AD10">
            <v>1</v>
          </cell>
          <cell r="AE10">
            <v>0</v>
          </cell>
          <cell r="AF10">
            <v>1</v>
          </cell>
          <cell r="AG10">
            <v>1</v>
          </cell>
          <cell r="AH10">
            <v>1</v>
          </cell>
          <cell r="AI10">
            <v>1</v>
          </cell>
          <cell r="AJ10">
            <v>1</v>
          </cell>
          <cell r="AK10">
            <v>1</v>
          </cell>
          <cell r="AL10">
            <v>1</v>
          </cell>
          <cell r="AM10">
            <v>1</v>
          </cell>
          <cell r="AN10">
            <v>0</v>
          </cell>
          <cell r="AO10">
            <v>0</v>
          </cell>
          <cell r="AP10">
            <v>1</v>
          </cell>
          <cell r="AQ10">
            <v>1</v>
          </cell>
          <cell r="AR10">
            <v>0</v>
          </cell>
          <cell r="AS10">
            <v>1</v>
          </cell>
          <cell r="AT10">
            <v>0</v>
          </cell>
          <cell r="AU10">
            <v>0</v>
          </cell>
          <cell r="AV10">
            <v>0</v>
          </cell>
          <cell r="AW10">
            <v>0</v>
          </cell>
          <cell r="AX10">
            <v>0</v>
          </cell>
          <cell r="AY10">
            <v>21</v>
          </cell>
          <cell r="AZ10">
            <v>14</v>
          </cell>
          <cell r="BA10">
            <v>17</v>
          </cell>
          <cell r="BB10">
            <v>18</v>
          </cell>
          <cell r="BC10"/>
          <cell r="BE10"/>
          <cell r="BF10">
            <v>0</v>
          </cell>
          <cell r="BG10">
            <v>0</v>
          </cell>
          <cell r="BH10">
            <v>1</v>
          </cell>
          <cell r="BI10">
            <v>0</v>
          </cell>
          <cell r="BJ10">
            <v>0</v>
          </cell>
          <cell r="BK10">
            <v>0</v>
          </cell>
          <cell r="BL10">
            <v>0</v>
          </cell>
          <cell r="BM10">
            <v>1</v>
          </cell>
          <cell r="BN10">
            <v>1</v>
          </cell>
          <cell r="BO10">
            <v>0</v>
          </cell>
          <cell r="BP10">
            <v>0</v>
          </cell>
          <cell r="BQ10">
            <v>1</v>
          </cell>
          <cell r="BR10">
            <v>0</v>
          </cell>
          <cell r="BS10">
            <v>1</v>
          </cell>
          <cell r="BT10">
            <v>1</v>
          </cell>
          <cell r="BU10">
            <v>0</v>
          </cell>
          <cell r="BV10">
            <v>0</v>
          </cell>
          <cell r="BW10">
            <v>1</v>
          </cell>
          <cell r="BX10">
            <v>1</v>
          </cell>
          <cell r="BY10">
            <v>1</v>
          </cell>
          <cell r="BZ10">
            <v>0</v>
          </cell>
          <cell r="CA10">
            <v>1</v>
          </cell>
          <cell r="CB10">
            <v>1</v>
          </cell>
          <cell r="CC10">
            <v>0</v>
          </cell>
          <cell r="CD10">
            <v>1</v>
          </cell>
          <cell r="CE10">
            <v>1</v>
          </cell>
          <cell r="CF10">
            <v>0</v>
          </cell>
          <cell r="CG10">
            <v>0</v>
          </cell>
          <cell r="CH10">
            <v>0</v>
          </cell>
          <cell r="CI10">
            <v>0</v>
          </cell>
          <cell r="CJ10">
            <v>0</v>
          </cell>
          <cell r="CK10">
            <v>0</v>
          </cell>
          <cell r="CL10">
            <v>0</v>
          </cell>
          <cell r="CM10">
            <v>0</v>
          </cell>
          <cell r="CN10">
            <v>0</v>
          </cell>
          <cell r="CO10">
            <v>13</v>
          </cell>
          <cell r="CP10">
            <v>22</v>
          </cell>
        </row>
        <row r="11">
          <cell r="E11" t="str">
            <v>MTA00101-10100019</v>
          </cell>
          <cell r="F11" t="str">
            <v>SUPERMARKET GOGO GOLDEN CITY</v>
          </cell>
          <cell r="G11">
            <v>30657293.908541664</v>
          </cell>
          <cell r="H11">
            <v>27138572.980694443</v>
          </cell>
          <cell r="I11" t="str">
            <v>BASELINE DIBAWAH AVG 2025</v>
          </cell>
          <cell r="J11">
            <v>34045530.18416667</v>
          </cell>
          <cell r="K11">
            <v>7591352.4302083328</v>
          </cell>
          <cell r="L11" t="str">
            <v>DIBAWAH BASELINE</v>
          </cell>
          <cell r="P11">
            <v>1</v>
          </cell>
          <cell r="Q11">
            <v>1</v>
          </cell>
          <cell r="R11">
            <v>1</v>
          </cell>
          <cell r="S11">
            <v>1</v>
          </cell>
          <cell r="T11">
            <v>1</v>
          </cell>
          <cell r="U11">
            <v>0</v>
          </cell>
          <cell r="V11">
            <v>1</v>
          </cell>
          <cell r="W11">
            <v>1</v>
          </cell>
          <cell r="X11">
            <v>1</v>
          </cell>
          <cell r="Y11">
            <v>1</v>
          </cell>
          <cell r="Z11">
            <v>1</v>
          </cell>
          <cell r="AA11">
            <v>1</v>
          </cell>
          <cell r="AB11">
            <v>1</v>
          </cell>
          <cell r="AC11">
            <v>1</v>
          </cell>
          <cell r="AD11">
            <v>1</v>
          </cell>
          <cell r="AE11">
            <v>1</v>
          </cell>
          <cell r="AF11">
            <v>1</v>
          </cell>
          <cell r="AG11">
            <v>1</v>
          </cell>
          <cell r="AH11">
            <v>1</v>
          </cell>
          <cell r="AI11">
            <v>1</v>
          </cell>
          <cell r="AJ11">
            <v>1</v>
          </cell>
          <cell r="AK11">
            <v>1</v>
          </cell>
          <cell r="AL11">
            <v>1</v>
          </cell>
          <cell r="AM11">
            <v>1</v>
          </cell>
          <cell r="AN11">
            <v>1</v>
          </cell>
          <cell r="AO11">
            <v>1</v>
          </cell>
          <cell r="AP11">
            <v>1</v>
          </cell>
          <cell r="AQ11">
            <v>1</v>
          </cell>
          <cell r="AR11">
            <v>1</v>
          </cell>
          <cell r="AS11">
            <v>1</v>
          </cell>
          <cell r="AT11">
            <v>1</v>
          </cell>
          <cell r="AU11">
            <v>1</v>
          </cell>
          <cell r="AV11">
            <v>0</v>
          </cell>
          <cell r="AW11">
            <v>0</v>
          </cell>
          <cell r="AX11">
            <v>0</v>
          </cell>
          <cell r="AY11">
            <v>31</v>
          </cell>
          <cell r="AZ11">
            <v>4</v>
          </cell>
          <cell r="BA11">
            <v>18</v>
          </cell>
          <cell r="BB11">
            <v>17</v>
          </cell>
          <cell r="BC11"/>
          <cell r="BE11"/>
          <cell r="BF11">
            <v>0</v>
          </cell>
          <cell r="BG11">
            <v>1</v>
          </cell>
          <cell r="BH11">
            <v>1</v>
          </cell>
          <cell r="BI11">
            <v>1</v>
          </cell>
          <cell r="BJ11">
            <v>0</v>
          </cell>
          <cell r="BK11">
            <v>0</v>
          </cell>
          <cell r="BL11">
            <v>0</v>
          </cell>
          <cell r="BM11">
            <v>1</v>
          </cell>
          <cell r="BN11">
            <v>0</v>
          </cell>
          <cell r="BO11">
            <v>0</v>
          </cell>
          <cell r="BP11">
            <v>0</v>
          </cell>
          <cell r="BQ11">
            <v>1</v>
          </cell>
          <cell r="BR11">
            <v>1</v>
          </cell>
          <cell r="BS11">
            <v>0</v>
          </cell>
          <cell r="BT11">
            <v>0</v>
          </cell>
          <cell r="BU11">
            <v>1</v>
          </cell>
          <cell r="BV11">
            <v>0</v>
          </cell>
          <cell r="BW11">
            <v>1</v>
          </cell>
          <cell r="BX11">
            <v>1</v>
          </cell>
          <cell r="BY11">
            <v>1</v>
          </cell>
          <cell r="BZ11">
            <v>0</v>
          </cell>
          <cell r="CA11">
            <v>0</v>
          </cell>
          <cell r="CB11">
            <v>0</v>
          </cell>
          <cell r="CC11">
            <v>0</v>
          </cell>
          <cell r="CD11">
            <v>1</v>
          </cell>
          <cell r="CE11">
            <v>1</v>
          </cell>
          <cell r="CF11">
            <v>0</v>
          </cell>
          <cell r="CG11">
            <v>0</v>
          </cell>
          <cell r="CH11">
            <v>0</v>
          </cell>
          <cell r="CI11">
            <v>0</v>
          </cell>
          <cell r="CJ11">
            <v>0</v>
          </cell>
          <cell r="CK11">
            <v>0</v>
          </cell>
          <cell r="CL11">
            <v>1</v>
          </cell>
          <cell r="CM11">
            <v>0</v>
          </cell>
          <cell r="CN11">
            <v>1</v>
          </cell>
          <cell r="CO11">
            <v>14</v>
          </cell>
          <cell r="CP11">
            <v>21</v>
          </cell>
        </row>
        <row r="12">
          <cell r="E12" t="str">
            <v>MTA00101-10100045</v>
          </cell>
          <cell r="F12" t="str">
            <v>SUPERMARKET GOGO SERAYA</v>
          </cell>
          <cell r="G12">
            <v>35728100.331684045</v>
          </cell>
          <cell r="H12">
            <v>34003662.151678257</v>
          </cell>
          <cell r="I12" t="str">
            <v>BASELINE DIBAWAH AVG 2025</v>
          </cell>
          <cell r="J12">
            <v>36431991.49081599</v>
          </cell>
          <cell r="K12">
            <v>18336573.947916687</v>
          </cell>
          <cell r="L12" t="str">
            <v>DIBAWAH BASELINE</v>
          </cell>
          <cell r="P12">
            <v>1</v>
          </cell>
          <cell r="Q12">
            <v>1</v>
          </cell>
          <cell r="R12">
            <v>1</v>
          </cell>
          <cell r="S12">
            <v>1</v>
          </cell>
          <cell r="T12">
            <v>1</v>
          </cell>
          <cell r="U12">
            <v>0</v>
          </cell>
          <cell r="V12">
            <v>1</v>
          </cell>
          <cell r="W12">
            <v>1</v>
          </cell>
          <cell r="X12">
            <v>1</v>
          </cell>
          <cell r="Y12">
            <v>1</v>
          </cell>
          <cell r="Z12">
            <v>1</v>
          </cell>
          <cell r="AA12">
            <v>1</v>
          </cell>
          <cell r="AB12">
            <v>1</v>
          </cell>
          <cell r="AC12">
            <v>1</v>
          </cell>
          <cell r="AD12">
            <v>1</v>
          </cell>
          <cell r="AE12">
            <v>1</v>
          </cell>
          <cell r="AF12">
            <v>1</v>
          </cell>
          <cell r="AG12">
            <v>1</v>
          </cell>
          <cell r="AH12">
            <v>1</v>
          </cell>
          <cell r="AI12">
            <v>1</v>
          </cell>
          <cell r="AJ12">
            <v>1</v>
          </cell>
          <cell r="AK12">
            <v>1</v>
          </cell>
          <cell r="AL12">
            <v>1</v>
          </cell>
          <cell r="AM12">
            <v>1</v>
          </cell>
          <cell r="AN12">
            <v>1</v>
          </cell>
          <cell r="AO12">
            <v>1</v>
          </cell>
          <cell r="AP12">
            <v>1</v>
          </cell>
          <cell r="AQ12">
            <v>1</v>
          </cell>
          <cell r="AR12">
            <v>1</v>
          </cell>
          <cell r="AS12">
            <v>1</v>
          </cell>
          <cell r="AT12">
            <v>1</v>
          </cell>
          <cell r="AU12">
            <v>1</v>
          </cell>
          <cell r="AV12">
            <v>0</v>
          </cell>
          <cell r="AW12">
            <v>0</v>
          </cell>
          <cell r="AX12">
            <v>0</v>
          </cell>
          <cell r="AY12">
            <v>31</v>
          </cell>
          <cell r="AZ12">
            <v>4</v>
          </cell>
          <cell r="BA12">
            <v>17</v>
          </cell>
          <cell r="BB12">
            <v>18</v>
          </cell>
          <cell r="BC12"/>
          <cell r="BE12"/>
          <cell r="BF12">
            <v>0</v>
          </cell>
          <cell r="BG12">
            <v>0</v>
          </cell>
          <cell r="BH12">
            <v>0</v>
          </cell>
          <cell r="BI12">
            <v>0</v>
          </cell>
          <cell r="BJ12">
            <v>0</v>
          </cell>
          <cell r="BK12">
            <v>0</v>
          </cell>
          <cell r="BL12">
            <v>0</v>
          </cell>
          <cell r="BM12">
            <v>1</v>
          </cell>
          <cell r="BN12">
            <v>1</v>
          </cell>
          <cell r="BO12">
            <v>0</v>
          </cell>
          <cell r="BP12">
            <v>0</v>
          </cell>
          <cell r="BQ12">
            <v>0</v>
          </cell>
          <cell r="BR12">
            <v>0</v>
          </cell>
          <cell r="BS12">
            <v>0</v>
          </cell>
          <cell r="BT12">
            <v>1</v>
          </cell>
          <cell r="BU12">
            <v>0</v>
          </cell>
          <cell r="BV12">
            <v>0</v>
          </cell>
          <cell r="BW12">
            <v>0</v>
          </cell>
          <cell r="BX12">
            <v>1</v>
          </cell>
          <cell r="BY12">
            <v>1</v>
          </cell>
          <cell r="BZ12">
            <v>0</v>
          </cell>
          <cell r="CA12">
            <v>1</v>
          </cell>
          <cell r="CB12">
            <v>1</v>
          </cell>
          <cell r="CC12">
            <v>0</v>
          </cell>
          <cell r="CD12">
            <v>1</v>
          </cell>
          <cell r="CE12">
            <v>1</v>
          </cell>
          <cell r="CF12">
            <v>0</v>
          </cell>
          <cell r="CG12">
            <v>0</v>
          </cell>
          <cell r="CH12">
            <v>1</v>
          </cell>
          <cell r="CI12">
            <v>1</v>
          </cell>
          <cell r="CJ12">
            <v>1</v>
          </cell>
          <cell r="CK12">
            <v>0</v>
          </cell>
          <cell r="CL12">
            <v>1</v>
          </cell>
          <cell r="CM12">
            <v>1</v>
          </cell>
          <cell r="CN12">
            <v>1</v>
          </cell>
          <cell r="CO12">
            <v>15</v>
          </cell>
          <cell r="CP12">
            <v>20</v>
          </cell>
        </row>
        <row r="13">
          <cell r="E13" t="str">
            <v>MTA00101-10100051</v>
          </cell>
          <cell r="F13" t="str">
            <v>SUPERMARKET GOGO TIBAN</v>
          </cell>
          <cell r="G13">
            <v>13363628.303784726</v>
          </cell>
          <cell r="H13">
            <v>12932883.631921297</v>
          </cell>
          <cell r="I13" t="str">
            <v>BASELINE DIBAWAH AVG 2025</v>
          </cell>
          <cell r="J13">
            <v>14824554.884340281</v>
          </cell>
          <cell r="K13">
            <v>3179189.5968750012</v>
          </cell>
          <cell r="L13" t="str">
            <v>DIBAWAH BASELINE</v>
          </cell>
          <cell r="P13">
            <v>1</v>
          </cell>
          <cell r="Q13">
            <v>1</v>
          </cell>
          <cell r="R13">
            <v>1</v>
          </cell>
          <cell r="S13">
            <v>1</v>
          </cell>
          <cell r="T13">
            <v>1</v>
          </cell>
          <cell r="U13">
            <v>0</v>
          </cell>
          <cell r="V13">
            <v>1</v>
          </cell>
          <cell r="W13">
            <v>1</v>
          </cell>
          <cell r="X13">
            <v>1</v>
          </cell>
          <cell r="Y13">
            <v>1</v>
          </cell>
          <cell r="Z13">
            <v>1</v>
          </cell>
          <cell r="AA13">
            <v>1</v>
          </cell>
          <cell r="AB13">
            <v>1</v>
          </cell>
          <cell r="AC13">
            <v>1</v>
          </cell>
          <cell r="AD13">
            <v>1</v>
          </cell>
          <cell r="AE13">
            <v>1</v>
          </cell>
          <cell r="AF13">
            <v>1</v>
          </cell>
          <cell r="AG13">
            <v>1</v>
          </cell>
          <cell r="AH13">
            <v>1</v>
          </cell>
          <cell r="AI13">
            <v>1</v>
          </cell>
          <cell r="AJ13">
            <v>1</v>
          </cell>
          <cell r="AK13">
            <v>1</v>
          </cell>
          <cell r="AL13">
            <v>1</v>
          </cell>
          <cell r="AM13">
            <v>1</v>
          </cell>
          <cell r="AN13">
            <v>1</v>
          </cell>
          <cell r="AO13">
            <v>1</v>
          </cell>
          <cell r="AP13">
            <v>1</v>
          </cell>
          <cell r="AQ13">
            <v>1</v>
          </cell>
          <cell r="AR13">
            <v>1</v>
          </cell>
          <cell r="AS13">
            <v>0</v>
          </cell>
          <cell r="AT13">
            <v>1</v>
          </cell>
          <cell r="AU13">
            <v>1</v>
          </cell>
          <cell r="AV13">
            <v>0</v>
          </cell>
          <cell r="AW13">
            <v>0</v>
          </cell>
          <cell r="AX13">
            <v>0</v>
          </cell>
          <cell r="AY13">
            <v>30</v>
          </cell>
          <cell r="AZ13">
            <v>5</v>
          </cell>
          <cell r="BA13">
            <v>17</v>
          </cell>
          <cell r="BB13">
            <v>18</v>
          </cell>
          <cell r="BC13"/>
          <cell r="BE13"/>
          <cell r="BF13">
            <v>0</v>
          </cell>
          <cell r="BG13">
            <v>1</v>
          </cell>
          <cell r="BH13">
            <v>0</v>
          </cell>
          <cell r="BI13">
            <v>0</v>
          </cell>
          <cell r="BJ13">
            <v>0</v>
          </cell>
          <cell r="BK13">
            <v>0</v>
          </cell>
          <cell r="BL13">
            <v>0</v>
          </cell>
          <cell r="BM13">
            <v>1</v>
          </cell>
          <cell r="BN13">
            <v>1</v>
          </cell>
          <cell r="BO13">
            <v>0</v>
          </cell>
          <cell r="BP13">
            <v>0</v>
          </cell>
          <cell r="BQ13">
            <v>0</v>
          </cell>
          <cell r="BR13">
            <v>1</v>
          </cell>
          <cell r="BS13">
            <v>0</v>
          </cell>
          <cell r="BT13">
            <v>1</v>
          </cell>
          <cell r="BU13">
            <v>0</v>
          </cell>
          <cell r="BV13">
            <v>0</v>
          </cell>
          <cell r="BW13">
            <v>1</v>
          </cell>
          <cell r="BX13">
            <v>1</v>
          </cell>
          <cell r="BY13">
            <v>1</v>
          </cell>
          <cell r="BZ13">
            <v>0</v>
          </cell>
          <cell r="CA13">
            <v>1</v>
          </cell>
          <cell r="CB13">
            <v>1</v>
          </cell>
          <cell r="CC13">
            <v>0</v>
          </cell>
          <cell r="CD13">
            <v>1</v>
          </cell>
          <cell r="CE13">
            <v>1</v>
          </cell>
          <cell r="CF13">
            <v>0</v>
          </cell>
          <cell r="CG13">
            <v>0</v>
          </cell>
          <cell r="CH13">
            <v>0</v>
          </cell>
          <cell r="CI13">
            <v>1</v>
          </cell>
          <cell r="CJ13">
            <v>0</v>
          </cell>
          <cell r="CK13">
            <v>0</v>
          </cell>
          <cell r="CL13">
            <v>1</v>
          </cell>
          <cell r="CM13">
            <v>1</v>
          </cell>
          <cell r="CN13">
            <v>0</v>
          </cell>
          <cell r="CO13">
            <v>15</v>
          </cell>
          <cell r="CP13">
            <v>20</v>
          </cell>
        </row>
        <row r="14">
          <cell r="E14" t="str">
            <v>MTA00101-10100057</v>
          </cell>
          <cell r="F14" t="str">
            <v>SUPERMARKET GOGO MARINA</v>
          </cell>
          <cell r="G14">
            <v>16704324.687100699</v>
          </cell>
          <cell r="H14">
            <v>14502417.749444447</v>
          </cell>
          <cell r="I14" t="str">
            <v>BASELINE DIBAWAH AVG 2025</v>
          </cell>
          <cell r="J14">
            <v>20134315.015034724</v>
          </cell>
          <cell r="K14">
            <v>6043783.2887500012</v>
          </cell>
          <cell r="L14" t="str">
            <v>DIBAWAH BASELINE</v>
          </cell>
          <cell r="P14">
            <v>1</v>
          </cell>
          <cell r="Q14">
            <v>1</v>
          </cell>
          <cell r="R14">
            <v>1</v>
          </cell>
          <cell r="S14">
            <v>1</v>
          </cell>
          <cell r="T14">
            <v>1</v>
          </cell>
          <cell r="U14">
            <v>0</v>
          </cell>
          <cell r="V14">
            <v>1</v>
          </cell>
          <cell r="W14">
            <v>1</v>
          </cell>
          <cell r="X14">
            <v>1</v>
          </cell>
          <cell r="Y14">
            <v>1</v>
          </cell>
          <cell r="Z14">
            <v>1</v>
          </cell>
          <cell r="AA14">
            <v>1</v>
          </cell>
          <cell r="AB14">
            <v>1</v>
          </cell>
          <cell r="AC14">
            <v>1</v>
          </cell>
          <cell r="AD14">
            <v>1</v>
          </cell>
          <cell r="AE14">
            <v>1</v>
          </cell>
          <cell r="AF14">
            <v>1</v>
          </cell>
          <cell r="AG14">
            <v>1</v>
          </cell>
          <cell r="AH14">
            <v>1</v>
          </cell>
          <cell r="AI14">
            <v>1</v>
          </cell>
          <cell r="AJ14">
            <v>1</v>
          </cell>
          <cell r="AK14">
            <v>1</v>
          </cell>
          <cell r="AL14">
            <v>1</v>
          </cell>
          <cell r="AM14">
            <v>1</v>
          </cell>
          <cell r="AN14">
            <v>1</v>
          </cell>
          <cell r="AO14">
            <v>1</v>
          </cell>
          <cell r="AP14">
            <v>0</v>
          </cell>
          <cell r="AQ14">
            <v>1</v>
          </cell>
          <cell r="AR14">
            <v>1</v>
          </cell>
          <cell r="AS14">
            <v>1</v>
          </cell>
          <cell r="AT14">
            <v>1</v>
          </cell>
          <cell r="AU14">
            <v>1</v>
          </cell>
          <cell r="AV14">
            <v>0</v>
          </cell>
          <cell r="AW14">
            <v>0</v>
          </cell>
          <cell r="AX14">
            <v>0</v>
          </cell>
          <cell r="AY14">
            <v>30</v>
          </cell>
          <cell r="AZ14">
            <v>5</v>
          </cell>
          <cell r="BA14">
            <v>16</v>
          </cell>
          <cell r="BB14">
            <v>19</v>
          </cell>
          <cell r="BC14"/>
          <cell r="BE14"/>
          <cell r="BF14">
            <v>0</v>
          </cell>
          <cell r="BG14">
            <v>1</v>
          </cell>
          <cell r="BH14">
            <v>0</v>
          </cell>
          <cell r="BI14">
            <v>1</v>
          </cell>
          <cell r="BJ14">
            <v>0</v>
          </cell>
          <cell r="BK14">
            <v>0</v>
          </cell>
          <cell r="BL14">
            <v>0</v>
          </cell>
          <cell r="BM14">
            <v>1</v>
          </cell>
          <cell r="BN14">
            <v>0</v>
          </cell>
          <cell r="BO14">
            <v>0</v>
          </cell>
          <cell r="BP14">
            <v>0</v>
          </cell>
          <cell r="BQ14">
            <v>0</v>
          </cell>
          <cell r="BR14">
            <v>0</v>
          </cell>
          <cell r="BS14">
            <v>0</v>
          </cell>
          <cell r="BT14">
            <v>0</v>
          </cell>
          <cell r="BU14">
            <v>0</v>
          </cell>
          <cell r="BV14">
            <v>0</v>
          </cell>
          <cell r="BW14">
            <v>0</v>
          </cell>
          <cell r="BX14">
            <v>0</v>
          </cell>
          <cell r="BY14">
            <v>1</v>
          </cell>
          <cell r="BZ14">
            <v>0</v>
          </cell>
          <cell r="CA14">
            <v>1</v>
          </cell>
          <cell r="CB14">
            <v>0</v>
          </cell>
          <cell r="CC14">
            <v>0</v>
          </cell>
          <cell r="CD14">
            <v>1</v>
          </cell>
          <cell r="CE14">
            <v>1</v>
          </cell>
          <cell r="CF14">
            <v>0</v>
          </cell>
          <cell r="CG14">
            <v>0</v>
          </cell>
          <cell r="CH14">
            <v>1</v>
          </cell>
          <cell r="CI14">
            <v>1</v>
          </cell>
          <cell r="CJ14">
            <v>0</v>
          </cell>
          <cell r="CK14">
            <v>0</v>
          </cell>
          <cell r="CL14">
            <v>0</v>
          </cell>
          <cell r="CM14">
            <v>1</v>
          </cell>
          <cell r="CN14">
            <v>0</v>
          </cell>
          <cell r="CO14">
            <v>10</v>
          </cell>
          <cell r="CP14">
            <v>25</v>
          </cell>
        </row>
        <row r="15">
          <cell r="E15" t="str">
            <v>MTA00101-10100063</v>
          </cell>
          <cell r="F15" t="str">
            <v>SUPERMARKET GOGO BOTANIA</v>
          </cell>
          <cell r="G15">
            <v>16358469.651432293</v>
          </cell>
          <cell r="H15">
            <v>16211959.363686346</v>
          </cell>
          <cell r="I15" t="str">
            <v>BASELINE DIBAWAH AVG 2025</v>
          </cell>
          <cell r="J15">
            <v>16997783.325520836</v>
          </cell>
          <cell r="K15">
            <v>10003241.122499999</v>
          </cell>
          <cell r="L15" t="str">
            <v>DIBAWAH BASELINE</v>
          </cell>
          <cell r="P15">
            <v>1</v>
          </cell>
          <cell r="Q15">
            <v>1</v>
          </cell>
          <cell r="R15">
            <v>1</v>
          </cell>
          <cell r="S15">
            <v>1</v>
          </cell>
          <cell r="T15">
            <v>0</v>
          </cell>
          <cell r="U15">
            <v>0</v>
          </cell>
          <cell r="V15">
            <v>1</v>
          </cell>
          <cell r="W15">
            <v>1</v>
          </cell>
          <cell r="X15">
            <v>1</v>
          </cell>
          <cell r="Y15">
            <v>1</v>
          </cell>
          <cell r="Z15">
            <v>1</v>
          </cell>
          <cell r="AA15">
            <v>1</v>
          </cell>
          <cell r="AB15">
            <v>1</v>
          </cell>
          <cell r="AC15">
            <v>1</v>
          </cell>
          <cell r="AD15">
            <v>1</v>
          </cell>
          <cell r="AE15">
            <v>0</v>
          </cell>
          <cell r="AF15">
            <v>1</v>
          </cell>
          <cell r="AG15">
            <v>1</v>
          </cell>
          <cell r="AH15">
            <v>1</v>
          </cell>
          <cell r="AI15">
            <v>1</v>
          </cell>
          <cell r="AJ15">
            <v>1</v>
          </cell>
          <cell r="AK15">
            <v>1</v>
          </cell>
          <cell r="AL15">
            <v>1</v>
          </cell>
          <cell r="AM15">
            <v>1</v>
          </cell>
          <cell r="AN15">
            <v>1</v>
          </cell>
          <cell r="AO15">
            <v>1</v>
          </cell>
          <cell r="AP15">
            <v>0</v>
          </cell>
          <cell r="AQ15">
            <v>1</v>
          </cell>
          <cell r="AR15">
            <v>1</v>
          </cell>
          <cell r="AS15">
            <v>1</v>
          </cell>
          <cell r="AT15">
            <v>1</v>
          </cell>
          <cell r="AU15">
            <v>1</v>
          </cell>
          <cell r="AV15">
            <v>0</v>
          </cell>
          <cell r="AW15">
            <v>0</v>
          </cell>
          <cell r="AX15">
            <v>0</v>
          </cell>
          <cell r="AY15">
            <v>28</v>
          </cell>
          <cell r="AZ15">
            <v>7</v>
          </cell>
          <cell r="BA15">
            <v>15</v>
          </cell>
          <cell r="BB15">
            <v>20</v>
          </cell>
          <cell r="BC15"/>
          <cell r="BE15"/>
          <cell r="BF15">
            <v>0</v>
          </cell>
          <cell r="BG15">
            <v>1</v>
          </cell>
          <cell r="BH15">
            <v>1</v>
          </cell>
          <cell r="BI15">
            <v>0</v>
          </cell>
          <cell r="BJ15">
            <v>0</v>
          </cell>
          <cell r="BK15">
            <v>0</v>
          </cell>
          <cell r="BL15">
            <v>0</v>
          </cell>
          <cell r="BM15">
            <v>1</v>
          </cell>
          <cell r="BN15">
            <v>1</v>
          </cell>
          <cell r="BO15">
            <v>0</v>
          </cell>
          <cell r="BP15">
            <v>0</v>
          </cell>
          <cell r="BQ15">
            <v>1</v>
          </cell>
          <cell r="BR15">
            <v>0</v>
          </cell>
          <cell r="BS15">
            <v>0</v>
          </cell>
          <cell r="BT15">
            <v>0</v>
          </cell>
          <cell r="BU15">
            <v>0</v>
          </cell>
          <cell r="BV15">
            <v>1</v>
          </cell>
          <cell r="BW15">
            <v>0</v>
          </cell>
          <cell r="BX15">
            <v>1</v>
          </cell>
          <cell r="BY15">
            <v>1</v>
          </cell>
          <cell r="BZ15">
            <v>0</v>
          </cell>
          <cell r="CA15">
            <v>1</v>
          </cell>
          <cell r="CB15">
            <v>1</v>
          </cell>
          <cell r="CC15">
            <v>1</v>
          </cell>
          <cell r="CD15">
            <v>1</v>
          </cell>
          <cell r="CE15">
            <v>1</v>
          </cell>
          <cell r="CF15">
            <v>0</v>
          </cell>
          <cell r="CG15">
            <v>0</v>
          </cell>
          <cell r="CH15">
            <v>0</v>
          </cell>
          <cell r="CI15">
            <v>1</v>
          </cell>
          <cell r="CJ15">
            <v>1</v>
          </cell>
          <cell r="CK15">
            <v>0</v>
          </cell>
          <cell r="CL15">
            <v>1</v>
          </cell>
          <cell r="CM15">
            <v>1</v>
          </cell>
          <cell r="CN15">
            <v>0</v>
          </cell>
          <cell r="CO15">
            <v>17</v>
          </cell>
          <cell r="CP15">
            <v>18</v>
          </cell>
        </row>
        <row r="16">
          <cell r="E16" t="str">
            <v>MTA00101-10100066</v>
          </cell>
          <cell r="F16" t="str">
            <v>SUPERMARKET GOGO K-SQUARE</v>
          </cell>
          <cell r="G16">
            <v>3537431.5353125031</v>
          </cell>
          <cell r="H16">
            <v>2358287.6902083354</v>
          </cell>
          <cell r="I16" t="str">
            <v>BASELINE DIBAWAH AVG 2025</v>
          </cell>
          <cell r="J16">
            <v>7074863.0706250062</v>
          </cell>
          <cell r="K16">
            <v>14571260.556874998</v>
          </cell>
          <cell r="L16" t="str">
            <v>OK</v>
          </cell>
          <cell r="P16">
            <v>0</v>
          </cell>
          <cell r="Q16">
            <v>1</v>
          </cell>
          <cell r="R16">
            <v>1</v>
          </cell>
          <cell r="S16">
            <v>1</v>
          </cell>
          <cell r="T16">
            <v>0</v>
          </cell>
          <cell r="U16">
            <v>0</v>
          </cell>
          <cell r="V16">
            <v>0</v>
          </cell>
          <cell r="W16">
            <v>1</v>
          </cell>
          <cell r="X16">
            <v>1</v>
          </cell>
          <cell r="Y16">
            <v>0</v>
          </cell>
          <cell r="Z16">
            <v>0</v>
          </cell>
          <cell r="AA16">
            <v>1</v>
          </cell>
          <cell r="AB16">
            <v>0</v>
          </cell>
          <cell r="AC16">
            <v>0</v>
          </cell>
          <cell r="AD16">
            <v>1</v>
          </cell>
          <cell r="AE16">
            <v>0</v>
          </cell>
          <cell r="AF16">
            <v>1</v>
          </cell>
          <cell r="AG16">
            <v>1</v>
          </cell>
          <cell r="AH16">
            <v>1</v>
          </cell>
          <cell r="AI16">
            <v>1</v>
          </cell>
          <cell r="AJ16">
            <v>1</v>
          </cell>
          <cell r="AK16">
            <v>1</v>
          </cell>
          <cell r="AL16">
            <v>1</v>
          </cell>
          <cell r="AM16">
            <v>1</v>
          </cell>
          <cell r="AN16">
            <v>0</v>
          </cell>
          <cell r="AO16">
            <v>1</v>
          </cell>
          <cell r="AP16">
            <v>1</v>
          </cell>
          <cell r="AQ16">
            <v>1</v>
          </cell>
          <cell r="AR16">
            <v>0</v>
          </cell>
          <cell r="AS16">
            <v>1</v>
          </cell>
          <cell r="AT16">
            <v>1</v>
          </cell>
          <cell r="AU16">
            <v>1</v>
          </cell>
          <cell r="AV16">
            <v>0</v>
          </cell>
          <cell r="AW16">
            <v>0</v>
          </cell>
          <cell r="AX16">
            <v>0</v>
          </cell>
          <cell r="AY16">
            <v>21</v>
          </cell>
          <cell r="AZ16">
            <v>14</v>
          </cell>
          <cell r="BA16">
            <v>13</v>
          </cell>
          <cell r="BB16">
            <v>22</v>
          </cell>
          <cell r="BC16"/>
          <cell r="BE16"/>
          <cell r="BF16">
            <v>0</v>
          </cell>
          <cell r="BG16">
            <v>1</v>
          </cell>
          <cell r="BH16">
            <v>1</v>
          </cell>
          <cell r="BI16">
            <v>1</v>
          </cell>
          <cell r="BJ16">
            <v>0</v>
          </cell>
          <cell r="BK16">
            <v>0</v>
          </cell>
          <cell r="BL16">
            <v>0</v>
          </cell>
          <cell r="BM16">
            <v>1</v>
          </cell>
          <cell r="BN16">
            <v>1</v>
          </cell>
          <cell r="BO16">
            <v>0</v>
          </cell>
          <cell r="BP16">
            <v>0</v>
          </cell>
          <cell r="BQ16">
            <v>1</v>
          </cell>
          <cell r="BR16">
            <v>0</v>
          </cell>
          <cell r="BS16">
            <v>0</v>
          </cell>
          <cell r="BT16">
            <v>1</v>
          </cell>
          <cell r="BU16">
            <v>0</v>
          </cell>
          <cell r="BV16">
            <v>0</v>
          </cell>
          <cell r="BW16">
            <v>0</v>
          </cell>
          <cell r="BX16">
            <v>1</v>
          </cell>
          <cell r="BY16">
            <v>1</v>
          </cell>
          <cell r="BZ16">
            <v>0</v>
          </cell>
          <cell r="CA16">
            <v>1</v>
          </cell>
          <cell r="CB16">
            <v>1</v>
          </cell>
          <cell r="CC16">
            <v>0</v>
          </cell>
          <cell r="CD16">
            <v>1</v>
          </cell>
          <cell r="CE16">
            <v>1</v>
          </cell>
          <cell r="CF16">
            <v>0</v>
          </cell>
          <cell r="CG16">
            <v>0</v>
          </cell>
          <cell r="CH16">
            <v>0</v>
          </cell>
          <cell r="CI16">
            <v>1</v>
          </cell>
          <cell r="CJ16">
            <v>1</v>
          </cell>
          <cell r="CK16">
            <v>0</v>
          </cell>
          <cell r="CL16">
            <v>0</v>
          </cell>
          <cell r="CM16">
            <v>1</v>
          </cell>
          <cell r="CN16">
            <v>1</v>
          </cell>
          <cell r="CO16">
            <v>17</v>
          </cell>
          <cell r="CP16">
            <v>18</v>
          </cell>
        </row>
        <row r="17">
          <cell r="E17" t="str">
            <v>MTA00101-10100016</v>
          </cell>
          <cell r="F17" t="str">
            <v>MM.GROS MART PRIMA</v>
          </cell>
          <cell r="G17">
            <v>5757220.8102256944</v>
          </cell>
          <cell r="H17">
            <v>5023071.9794830251</v>
          </cell>
          <cell r="I17" t="str">
            <v>BASELINE DIBAWAH AVG 2025</v>
          </cell>
          <cell r="J17">
            <v>6762032.4310243055</v>
          </cell>
          <cell r="K17">
            <v>4564055.8809374999</v>
          </cell>
          <cell r="L17" t="str">
            <v>DIBAWAH BASELINE</v>
          </cell>
          <cell r="P17">
            <v>0</v>
          </cell>
          <cell r="Q17">
            <v>0</v>
          </cell>
          <cell r="R17">
            <v>1</v>
          </cell>
          <cell r="S17">
            <v>0</v>
          </cell>
          <cell r="T17">
            <v>0</v>
          </cell>
          <cell r="U17">
            <v>0</v>
          </cell>
          <cell r="V17">
            <v>0</v>
          </cell>
          <cell r="W17">
            <v>1</v>
          </cell>
          <cell r="X17">
            <v>1</v>
          </cell>
          <cell r="Y17">
            <v>0</v>
          </cell>
          <cell r="Z17">
            <v>0</v>
          </cell>
          <cell r="AA17">
            <v>1</v>
          </cell>
          <cell r="AB17">
            <v>1</v>
          </cell>
          <cell r="AC17">
            <v>1</v>
          </cell>
          <cell r="AD17">
            <v>1</v>
          </cell>
          <cell r="AE17">
            <v>1</v>
          </cell>
          <cell r="AF17">
            <v>1</v>
          </cell>
          <cell r="AG17">
            <v>1</v>
          </cell>
          <cell r="AH17">
            <v>1</v>
          </cell>
          <cell r="AI17">
            <v>1</v>
          </cell>
          <cell r="AJ17">
            <v>1</v>
          </cell>
          <cell r="AK17">
            <v>1</v>
          </cell>
          <cell r="AL17">
            <v>1</v>
          </cell>
          <cell r="AM17">
            <v>1</v>
          </cell>
          <cell r="AN17">
            <v>1</v>
          </cell>
          <cell r="AO17">
            <v>0</v>
          </cell>
          <cell r="AP17">
            <v>1</v>
          </cell>
          <cell r="AQ17">
            <v>1</v>
          </cell>
          <cell r="AR17">
            <v>0</v>
          </cell>
          <cell r="AS17">
            <v>1</v>
          </cell>
          <cell r="AT17">
            <v>1</v>
          </cell>
          <cell r="AU17">
            <v>0</v>
          </cell>
          <cell r="AV17">
            <v>0</v>
          </cell>
          <cell r="AW17">
            <v>0</v>
          </cell>
          <cell r="AX17">
            <v>0</v>
          </cell>
          <cell r="AY17">
            <v>21</v>
          </cell>
          <cell r="AZ17">
            <v>14</v>
          </cell>
          <cell r="BA17">
            <v>8</v>
          </cell>
          <cell r="BB17">
            <v>27</v>
          </cell>
          <cell r="BC17"/>
          <cell r="BE17"/>
          <cell r="BF17">
            <v>0</v>
          </cell>
          <cell r="BG17">
            <v>0</v>
          </cell>
          <cell r="BH17">
            <v>0</v>
          </cell>
          <cell r="BI17">
            <v>0</v>
          </cell>
          <cell r="BJ17">
            <v>0</v>
          </cell>
          <cell r="BK17">
            <v>0</v>
          </cell>
          <cell r="BL17">
            <v>0</v>
          </cell>
          <cell r="BM17">
            <v>1</v>
          </cell>
          <cell r="BN17">
            <v>0</v>
          </cell>
          <cell r="BO17">
            <v>0</v>
          </cell>
          <cell r="BP17">
            <v>0</v>
          </cell>
          <cell r="BQ17">
            <v>0</v>
          </cell>
          <cell r="BR17">
            <v>0</v>
          </cell>
          <cell r="BS17">
            <v>0</v>
          </cell>
          <cell r="BT17">
            <v>0</v>
          </cell>
          <cell r="BU17">
            <v>0</v>
          </cell>
          <cell r="BV17">
            <v>0</v>
          </cell>
          <cell r="BW17">
            <v>0</v>
          </cell>
          <cell r="BX17">
            <v>1</v>
          </cell>
          <cell r="BY17">
            <v>0</v>
          </cell>
          <cell r="BZ17">
            <v>0</v>
          </cell>
          <cell r="CA17">
            <v>1</v>
          </cell>
          <cell r="CB17">
            <v>0</v>
          </cell>
          <cell r="CC17">
            <v>0</v>
          </cell>
          <cell r="CD17">
            <v>1</v>
          </cell>
          <cell r="CE17">
            <v>0</v>
          </cell>
          <cell r="CF17">
            <v>0</v>
          </cell>
          <cell r="CG17">
            <v>0</v>
          </cell>
          <cell r="CH17">
            <v>0</v>
          </cell>
          <cell r="CI17">
            <v>0</v>
          </cell>
          <cell r="CJ17">
            <v>0</v>
          </cell>
          <cell r="CK17">
            <v>0</v>
          </cell>
          <cell r="CL17">
            <v>0</v>
          </cell>
          <cell r="CM17">
            <v>1</v>
          </cell>
          <cell r="CN17">
            <v>0</v>
          </cell>
          <cell r="CO17">
            <v>5</v>
          </cell>
          <cell r="CP17">
            <v>30</v>
          </cell>
        </row>
        <row r="18">
          <cell r="E18" t="str">
            <v>MTA00101-10100015</v>
          </cell>
          <cell r="F18" t="str">
            <v>MM.LEMON MART</v>
          </cell>
          <cell r="G18">
            <v>12952098.590277778</v>
          </cell>
          <cell r="H18">
            <v>12278957.947627315</v>
          </cell>
          <cell r="I18" t="str">
            <v>BASELINE DIBAWAH AVG 2025</v>
          </cell>
          <cell r="J18">
            <v>14815625.419375002</v>
          </cell>
          <cell r="K18">
            <v>14373429.387500001</v>
          </cell>
          <cell r="L18" t="str">
            <v>BELUM CAPAI TARGET</v>
          </cell>
          <cell r="P18">
            <v>0</v>
          </cell>
          <cell r="Q18">
            <v>0</v>
          </cell>
          <cell r="R18">
            <v>0</v>
          </cell>
          <cell r="S18">
            <v>1</v>
          </cell>
          <cell r="T18">
            <v>1</v>
          </cell>
          <cell r="U18">
            <v>0</v>
          </cell>
          <cell r="V18">
            <v>0</v>
          </cell>
          <cell r="W18">
            <v>1</v>
          </cell>
          <cell r="X18">
            <v>1</v>
          </cell>
          <cell r="Y18">
            <v>0</v>
          </cell>
          <cell r="Z18">
            <v>0</v>
          </cell>
          <cell r="AA18">
            <v>1</v>
          </cell>
          <cell r="AB18">
            <v>1</v>
          </cell>
          <cell r="AC18">
            <v>1</v>
          </cell>
          <cell r="AD18">
            <v>1</v>
          </cell>
          <cell r="AE18">
            <v>0</v>
          </cell>
          <cell r="AF18">
            <v>1</v>
          </cell>
          <cell r="AG18">
            <v>1</v>
          </cell>
          <cell r="AH18">
            <v>1</v>
          </cell>
          <cell r="AI18">
            <v>1</v>
          </cell>
          <cell r="AJ18">
            <v>1</v>
          </cell>
          <cell r="AK18">
            <v>1</v>
          </cell>
          <cell r="AL18">
            <v>1</v>
          </cell>
          <cell r="AM18">
            <v>1</v>
          </cell>
          <cell r="AN18">
            <v>0</v>
          </cell>
          <cell r="AO18">
            <v>0</v>
          </cell>
          <cell r="AP18">
            <v>0</v>
          </cell>
          <cell r="AQ18">
            <v>1</v>
          </cell>
          <cell r="AR18">
            <v>1</v>
          </cell>
          <cell r="AS18">
            <v>0</v>
          </cell>
          <cell r="AT18">
            <v>1</v>
          </cell>
          <cell r="AU18">
            <v>0</v>
          </cell>
          <cell r="AV18">
            <v>0</v>
          </cell>
          <cell r="AW18">
            <v>0</v>
          </cell>
          <cell r="AX18">
            <v>0</v>
          </cell>
          <cell r="AY18">
            <v>19</v>
          </cell>
          <cell r="AZ18">
            <v>16</v>
          </cell>
          <cell r="BA18">
            <v>12</v>
          </cell>
          <cell r="BB18">
            <v>23</v>
          </cell>
          <cell r="BC18"/>
          <cell r="BE18"/>
          <cell r="BF18">
            <v>0</v>
          </cell>
          <cell r="BG18">
            <v>0</v>
          </cell>
          <cell r="BH18">
            <v>0</v>
          </cell>
          <cell r="BI18">
            <v>0</v>
          </cell>
          <cell r="BJ18">
            <v>0</v>
          </cell>
          <cell r="BK18">
            <v>0</v>
          </cell>
          <cell r="BL18">
            <v>0</v>
          </cell>
          <cell r="BM18">
            <v>0</v>
          </cell>
          <cell r="BN18">
            <v>1</v>
          </cell>
          <cell r="BO18">
            <v>0</v>
          </cell>
          <cell r="BP18">
            <v>0</v>
          </cell>
          <cell r="BQ18">
            <v>0</v>
          </cell>
          <cell r="BR18">
            <v>0</v>
          </cell>
          <cell r="BS18">
            <v>0</v>
          </cell>
          <cell r="BT18">
            <v>1</v>
          </cell>
          <cell r="BU18">
            <v>0</v>
          </cell>
          <cell r="BV18">
            <v>1</v>
          </cell>
          <cell r="BW18">
            <v>1</v>
          </cell>
          <cell r="BX18">
            <v>1</v>
          </cell>
          <cell r="BY18">
            <v>1</v>
          </cell>
          <cell r="BZ18">
            <v>0</v>
          </cell>
          <cell r="CA18">
            <v>1</v>
          </cell>
          <cell r="CB18">
            <v>0</v>
          </cell>
          <cell r="CC18">
            <v>0</v>
          </cell>
          <cell r="CD18">
            <v>1</v>
          </cell>
          <cell r="CE18">
            <v>0</v>
          </cell>
          <cell r="CF18">
            <v>0</v>
          </cell>
          <cell r="CG18">
            <v>0</v>
          </cell>
          <cell r="CH18">
            <v>0</v>
          </cell>
          <cell r="CI18">
            <v>0</v>
          </cell>
          <cell r="CJ18">
            <v>0</v>
          </cell>
          <cell r="CK18">
            <v>0</v>
          </cell>
          <cell r="CL18">
            <v>0</v>
          </cell>
          <cell r="CM18">
            <v>0</v>
          </cell>
          <cell r="CN18">
            <v>0</v>
          </cell>
          <cell r="CO18">
            <v>8</v>
          </cell>
          <cell r="CP18">
            <v>27</v>
          </cell>
        </row>
        <row r="19">
          <cell r="E19" t="str">
            <v>MTA00101-10100017</v>
          </cell>
          <cell r="F19" t="str">
            <v>SPM.GROS BOTANIA</v>
          </cell>
          <cell r="G19">
            <v>9010629.9168663155</v>
          </cell>
          <cell r="H19">
            <v>8219648.4233584097</v>
          </cell>
          <cell r="I19" t="str">
            <v>BASELINE DIBAWAH AVG 2025</v>
          </cell>
          <cell r="J19">
            <v>9244039.3984722216</v>
          </cell>
          <cell r="K19">
            <v>5063154.9799999995</v>
          </cell>
          <cell r="L19" t="str">
            <v>DIBAWAH BASELINE</v>
          </cell>
          <cell r="P19">
            <v>0</v>
          </cell>
          <cell r="Q19">
            <v>0</v>
          </cell>
          <cell r="R19">
            <v>0</v>
          </cell>
          <cell r="S19">
            <v>1</v>
          </cell>
          <cell r="T19">
            <v>0</v>
          </cell>
          <cell r="U19">
            <v>0</v>
          </cell>
          <cell r="V19">
            <v>0</v>
          </cell>
          <cell r="W19">
            <v>1</v>
          </cell>
          <cell r="X19">
            <v>1</v>
          </cell>
          <cell r="Y19">
            <v>0</v>
          </cell>
          <cell r="Z19">
            <v>0</v>
          </cell>
          <cell r="AA19">
            <v>0</v>
          </cell>
          <cell r="AB19">
            <v>1</v>
          </cell>
          <cell r="AC19">
            <v>0</v>
          </cell>
          <cell r="AD19">
            <v>1</v>
          </cell>
          <cell r="AE19">
            <v>0</v>
          </cell>
          <cell r="AF19">
            <v>0</v>
          </cell>
          <cell r="AG19">
            <v>1</v>
          </cell>
          <cell r="AH19">
            <v>1</v>
          </cell>
          <cell r="AI19">
            <v>1</v>
          </cell>
          <cell r="AJ19">
            <v>1</v>
          </cell>
          <cell r="AK19">
            <v>0</v>
          </cell>
          <cell r="AL19">
            <v>1</v>
          </cell>
          <cell r="AM19">
            <v>1</v>
          </cell>
          <cell r="AN19">
            <v>0</v>
          </cell>
          <cell r="AO19">
            <v>0</v>
          </cell>
          <cell r="AP19">
            <v>1</v>
          </cell>
          <cell r="AQ19">
            <v>1</v>
          </cell>
          <cell r="AR19">
            <v>0</v>
          </cell>
          <cell r="AS19">
            <v>0</v>
          </cell>
          <cell r="AT19">
            <v>1</v>
          </cell>
          <cell r="AU19">
            <v>0</v>
          </cell>
          <cell r="AV19">
            <v>0</v>
          </cell>
          <cell r="AW19">
            <v>0</v>
          </cell>
          <cell r="AX19">
            <v>0</v>
          </cell>
          <cell r="AY19">
            <v>14</v>
          </cell>
          <cell r="AZ19">
            <v>21</v>
          </cell>
          <cell r="BA19">
            <v>11</v>
          </cell>
          <cell r="BB19">
            <v>24</v>
          </cell>
          <cell r="BC19"/>
          <cell r="BE19"/>
          <cell r="BF19">
            <v>0</v>
          </cell>
          <cell r="BG19">
            <v>0</v>
          </cell>
          <cell r="BH19">
            <v>0</v>
          </cell>
          <cell r="BI19">
            <v>0</v>
          </cell>
          <cell r="BJ19">
            <v>0</v>
          </cell>
          <cell r="BK19">
            <v>0</v>
          </cell>
          <cell r="BL19">
            <v>0</v>
          </cell>
          <cell r="BM19">
            <v>1</v>
          </cell>
          <cell r="BN19">
            <v>1</v>
          </cell>
          <cell r="BO19">
            <v>0</v>
          </cell>
          <cell r="BP19">
            <v>0</v>
          </cell>
          <cell r="BQ19">
            <v>0</v>
          </cell>
          <cell r="BR19">
            <v>0</v>
          </cell>
          <cell r="BS19">
            <v>0</v>
          </cell>
          <cell r="BT19">
            <v>1</v>
          </cell>
          <cell r="BU19">
            <v>0</v>
          </cell>
          <cell r="BV19">
            <v>0</v>
          </cell>
          <cell r="BW19">
            <v>1</v>
          </cell>
          <cell r="BX19">
            <v>0</v>
          </cell>
          <cell r="BY19">
            <v>1</v>
          </cell>
          <cell r="BZ19">
            <v>0</v>
          </cell>
          <cell r="CA19">
            <v>1</v>
          </cell>
          <cell r="CB19">
            <v>1</v>
          </cell>
          <cell r="CC19">
            <v>0</v>
          </cell>
          <cell r="CD19">
            <v>1</v>
          </cell>
          <cell r="CE19">
            <v>1</v>
          </cell>
          <cell r="CF19">
            <v>0</v>
          </cell>
          <cell r="CG19">
            <v>0</v>
          </cell>
          <cell r="CH19">
            <v>0</v>
          </cell>
          <cell r="CI19">
            <v>0</v>
          </cell>
          <cell r="CJ19">
            <v>0</v>
          </cell>
          <cell r="CK19">
            <v>0</v>
          </cell>
          <cell r="CL19">
            <v>0</v>
          </cell>
          <cell r="CM19">
            <v>0</v>
          </cell>
          <cell r="CN19">
            <v>0</v>
          </cell>
          <cell r="CO19">
            <v>9</v>
          </cell>
          <cell r="CP19">
            <v>26</v>
          </cell>
        </row>
        <row r="20">
          <cell r="E20" t="str">
            <v>MTA00101-10100014</v>
          </cell>
          <cell r="F20" t="str">
            <v>MM.GROS MART PIAYU</v>
          </cell>
          <cell r="G20">
            <v>15276425.257899312</v>
          </cell>
          <cell r="H20">
            <v>13694560.046643523</v>
          </cell>
          <cell r="I20" t="str">
            <v>BASELINE DIBAWAH AVG 2025</v>
          </cell>
          <cell r="J20">
            <v>17305616.242534723</v>
          </cell>
          <cell r="K20">
            <v>13301083.31625</v>
          </cell>
          <cell r="L20" t="str">
            <v>DIBAWAH BASELINE</v>
          </cell>
          <cell r="P20">
            <v>0</v>
          </cell>
          <cell r="Q20">
            <v>0</v>
          </cell>
          <cell r="R20">
            <v>0</v>
          </cell>
          <cell r="S20">
            <v>0</v>
          </cell>
          <cell r="T20">
            <v>0</v>
          </cell>
          <cell r="U20">
            <v>0</v>
          </cell>
          <cell r="V20">
            <v>0</v>
          </cell>
          <cell r="W20">
            <v>1</v>
          </cell>
          <cell r="X20">
            <v>1</v>
          </cell>
          <cell r="Y20">
            <v>0</v>
          </cell>
          <cell r="Z20">
            <v>0</v>
          </cell>
          <cell r="AA20">
            <v>1</v>
          </cell>
          <cell r="AB20">
            <v>1</v>
          </cell>
          <cell r="AC20">
            <v>0</v>
          </cell>
          <cell r="AD20">
            <v>1</v>
          </cell>
          <cell r="AE20">
            <v>0</v>
          </cell>
          <cell r="AF20">
            <v>0</v>
          </cell>
          <cell r="AG20">
            <v>1</v>
          </cell>
          <cell r="AH20">
            <v>1</v>
          </cell>
          <cell r="AI20">
            <v>1</v>
          </cell>
          <cell r="AJ20">
            <v>1</v>
          </cell>
          <cell r="AK20">
            <v>1</v>
          </cell>
          <cell r="AL20">
            <v>1</v>
          </cell>
          <cell r="AM20">
            <v>1</v>
          </cell>
          <cell r="AN20">
            <v>0</v>
          </cell>
          <cell r="AO20">
            <v>0</v>
          </cell>
          <cell r="AP20">
            <v>1</v>
          </cell>
          <cell r="AQ20">
            <v>1</v>
          </cell>
          <cell r="AR20">
            <v>0</v>
          </cell>
          <cell r="AS20">
            <v>1</v>
          </cell>
          <cell r="AT20">
            <v>0</v>
          </cell>
          <cell r="AU20">
            <v>0</v>
          </cell>
          <cell r="AV20">
            <v>0</v>
          </cell>
          <cell r="AW20">
            <v>0</v>
          </cell>
          <cell r="AX20">
            <v>0</v>
          </cell>
          <cell r="AY20">
            <v>15</v>
          </cell>
          <cell r="AZ20">
            <v>20</v>
          </cell>
          <cell r="BA20">
            <v>9</v>
          </cell>
          <cell r="BB20">
            <v>26</v>
          </cell>
          <cell r="BC20"/>
          <cell r="BE20"/>
          <cell r="BF20">
            <v>0</v>
          </cell>
          <cell r="BG20">
            <v>0</v>
          </cell>
          <cell r="BH20">
            <v>0</v>
          </cell>
          <cell r="BI20">
            <v>0</v>
          </cell>
          <cell r="BJ20">
            <v>0</v>
          </cell>
          <cell r="BK20">
            <v>0</v>
          </cell>
          <cell r="BL20">
            <v>0</v>
          </cell>
          <cell r="BM20">
            <v>1</v>
          </cell>
          <cell r="BN20">
            <v>1</v>
          </cell>
          <cell r="BO20">
            <v>0</v>
          </cell>
          <cell r="BP20">
            <v>0</v>
          </cell>
          <cell r="BQ20">
            <v>1</v>
          </cell>
          <cell r="BR20">
            <v>0</v>
          </cell>
          <cell r="BS20">
            <v>0</v>
          </cell>
          <cell r="BT20">
            <v>0</v>
          </cell>
          <cell r="BU20">
            <v>0</v>
          </cell>
          <cell r="BV20">
            <v>0</v>
          </cell>
          <cell r="BW20">
            <v>1</v>
          </cell>
          <cell r="BX20">
            <v>1</v>
          </cell>
          <cell r="BY20">
            <v>1</v>
          </cell>
          <cell r="BZ20">
            <v>0</v>
          </cell>
          <cell r="CA20">
            <v>0</v>
          </cell>
          <cell r="CB20">
            <v>1</v>
          </cell>
          <cell r="CC20">
            <v>0</v>
          </cell>
          <cell r="CD20">
            <v>1</v>
          </cell>
          <cell r="CE20">
            <v>1</v>
          </cell>
          <cell r="CF20">
            <v>0</v>
          </cell>
          <cell r="CG20">
            <v>0</v>
          </cell>
          <cell r="CH20">
            <v>0</v>
          </cell>
          <cell r="CI20">
            <v>0</v>
          </cell>
          <cell r="CJ20">
            <v>0</v>
          </cell>
          <cell r="CK20">
            <v>0</v>
          </cell>
          <cell r="CL20">
            <v>0</v>
          </cell>
          <cell r="CM20">
            <v>0</v>
          </cell>
          <cell r="CN20">
            <v>0</v>
          </cell>
          <cell r="CO20">
            <v>9</v>
          </cell>
          <cell r="CP20">
            <v>26</v>
          </cell>
        </row>
        <row r="21">
          <cell r="E21" t="str">
            <v>MTA00101-10100061</v>
          </cell>
          <cell r="F21" t="str">
            <v>CV.SEMBAKO MUSTAFA LESTARI</v>
          </cell>
          <cell r="G21">
            <v>11041077.947734375</v>
          </cell>
          <cell r="H21">
            <v>10085896.15728588</v>
          </cell>
          <cell r="I21" t="str">
            <v>BASELINE DIBAWAH AVG 2025</v>
          </cell>
          <cell r="J21">
            <v>12943691.3203125</v>
          </cell>
          <cell r="K21">
            <v>3079999.1100000003</v>
          </cell>
          <cell r="L21" t="str">
            <v>DIBAWAH BASELINE</v>
          </cell>
          <cell r="P21">
            <v>0</v>
          </cell>
          <cell r="Q21">
            <v>1</v>
          </cell>
          <cell r="R21">
            <v>1</v>
          </cell>
          <cell r="S21">
            <v>1</v>
          </cell>
          <cell r="T21">
            <v>1</v>
          </cell>
          <cell r="U21">
            <v>0</v>
          </cell>
          <cell r="V21">
            <v>0</v>
          </cell>
          <cell r="W21">
            <v>1</v>
          </cell>
          <cell r="X21">
            <v>1</v>
          </cell>
          <cell r="Y21">
            <v>0</v>
          </cell>
          <cell r="Z21">
            <v>1</v>
          </cell>
          <cell r="AA21">
            <v>1</v>
          </cell>
          <cell r="AB21">
            <v>1</v>
          </cell>
          <cell r="AC21">
            <v>1</v>
          </cell>
          <cell r="AD21">
            <v>1</v>
          </cell>
          <cell r="AE21">
            <v>1</v>
          </cell>
          <cell r="AF21">
            <v>1</v>
          </cell>
          <cell r="AG21">
            <v>0</v>
          </cell>
          <cell r="AH21">
            <v>1</v>
          </cell>
          <cell r="AI21">
            <v>1</v>
          </cell>
          <cell r="AJ21">
            <v>1</v>
          </cell>
          <cell r="AK21">
            <v>1</v>
          </cell>
          <cell r="AL21">
            <v>1</v>
          </cell>
          <cell r="AM21">
            <v>1</v>
          </cell>
          <cell r="AN21">
            <v>1</v>
          </cell>
          <cell r="AO21">
            <v>0</v>
          </cell>
          <cell r="AP21">
            <v>0</v>
          </cell>
          <cell r="AQ21">
            <v>1</v>
          </cell>
          <cell r="AR21">
            <v>1</v>
          </cell>
          <cell r="AS21">
            <v>1</v>
          </cell>
          <cell r="AT21">
            <v>1</v>
          </cell>
          <cell r="AU21">
            <v>0</v>
          </cell>
          <cell r="AV21">
            <v>0</v>
          </cell>
          <cell r="AW21">
            <v>0</v>
          </cell>
          <cell r="AX21">
            <v>0</v>
          </cell>
          <cell r="AY21">
            <v>24</v>
          </cell>
          <cell r="AZ21">
            <v>11</v>
          </cell>
          <cell r="BA21">
            <v>17</v>
          </cell>
          <cell r="BB21">
            <v>18</v>
          </cell>
          <cell r="BC21"/>
          <cell r="BE21"/>
          <cell r="BF21">
            <v>0</v>
          </cell>
          <cell r="BG21">
            <v>0</v>
          </cell>
          <cell r="BH21">
            <v>0</v>
          </cell>
          <cell r="BI21">
            <v>0</v>
          </cell>
          <cell r="BJ21">
            <v>0</v>
          </cell>
          <cell r="BK21">
            <v>0</v>
          </cell>
          <cell r="BL21">
            <v>0</v>
          </cell>
          <cell r="BM21">
            <v>1</v>
          </cell>
          <cell r="BN21">
            <v>0</v>
          </cell>
          <cell r="BO21">
            <v>0</v>
          </cell>
          <cell r="BP21">
            <v>0</v>
          </cell>
          <cell r="BQ21">
            <v>0</v>
          </cell>
          <cell r="BR21">
            <v>0</v>
          </cell>
          <cell r="BS21">
            <v>0</v>
          </cell>
          <cell r="BT21">
            <v>1</v>
          </cell>
          <cell r="BU21">
            <v>0</v>
          </cell>
          <cell r="BV21">
            <v>1</v>
          </cell>
          <cell r="BW21">
            <v>0</v>
          </cell>
          <cell r="BX21">
            <v>0</v>
          </cell>
          <cell r="BY21">
            <v>0</v>
          </cell>
          <cell r="BZ21">
            <v>0</v>
          </cell>
          <cell r="CA21">
            <v>1</v>
          </cell>
          <cell r="CB21">
            <v>0</v>
          </cell>
          <cell r="CC21">
            <v>0</v>
          </cell>
          <cell r="CD21">
            <v>0</v>
          </cell>
          <cell r="CE21">
            <v>1</v>
          </cell>
          <cell r="CF21">
            <v>0</v>
          </cell>
          <cell r="CG21">
            <v>0</v>
          </cell>
          <cell r="CH21">
            <v>0</v>
          </cell>
          <cell r="CI21">
            <v>0</v>
          </cell>
          <cell r="CJ21">
            <v>0</v>
          </cell>
          <cell r="CK21">
            <v>0</v>
          </cell>
          <cell r="CL21">
            <v>0</v>
          </cell>
          <cell r="CM21">
            <v>0</v>
          </cell>
          <cell r="CN21">
            <v>0</v>
          </cell>
          <cell r="CO21">
            <v>5</v>
          </cell>
          <cell r="CP21">
            <v>30</v>
          </cell>
        </row>
        <row r="22">
          <cell r="E22" t="str">
            <v>MTA00101-10100062</v>
          </cell>
          <cell r="F22" t="str">
            <v>CV.DUTA SEMBAKO MAKMUR</v>
          </cell>
          <cell r="G22">
            <v>14291179.875885421</v>
          </cell>
          <cell r="H22">
            <v>13567445.365366513</v>
          </cell>
          <cell r="I22" t="str">
            <v>BASELINE DIBAWAH AVG 2025</v>
          </cell>
          <cell r="J22">
            <v>15789219.989583336</v>
          </cell>
          <cell r="K22">
            <v>12599007.6775</v>
          </cell>
          <cell r="L22" t="str">
            <v>DIBAWAH BASELINE</v>
          </cell>
          <cell r="P22">
            <v>0</v>
          </cell>
          <cell r="Q22">
            <v>1</v>
          </cell>
          <cell r="R22">
            <v>1</v>
          </cell>
          <cell r="S22">
            <v>1</v>
          </cell>
          <cell r="T22">
            <v>1</v>
          </cell>
          <cell r="U22">
            <v>0</v>
          </cell>
          <cell r="V22">
            <v>0</v>
          </cell>
          <cell r="W22">
            <v>1</v>
          </cell>
          <cell r="X22">
            <v>1</v>
          </cell>
          <cell r="Y22">
            <v>0</v>
          </cell>
          <cell r="Z22">
            <v>0</v>
          </cell>
          <cell r="AA22">
            <v>1</v>
          </cell>
          <cell r="AB22">
            <v>1</v>
          </cell>
          <cell r="AC22">
            <v>1</v>
          </cell>
          <cell r="AD22">
            <v>1</v>
          </cell>
          <cell r="AE22">
            <v>1</v>
          </cell>
          <cell r="AF22">
            <v>1</v>
          </cell>
          <cell r="AG22">
            <v>1</v>
          </cell>
          <cell r="AH22">
            <v>1</v>
          </cell>
          <cell r="AI22">
            <v>1</v>
          </cell>
          <cell r="AJ22">
            <v>1</v>
          </cell>
          <cell r="AK22">
            <v>1</v>
          </cell>
          <cell r="AL22">
            <v>1</v>
          </cell>
          <cell r="AM22">
            <v>1</v>
          </cell>
          <cell r="AN22">
            <v>1</v>
          </cell>
          <cell r="AO22">
            <v>0</v>
          </cell>
          <cell r="AP22">
            <v>0</v>
          </cell>
          <cell r="AQ22">
            <v>1</v>
          </cell>
          <cell r="AR22">
            <v>1</v>
          </cell>
          <cell r="AS22">
            <v>1</v>
          </cell>
          <cell r="AT22">
            <v>1</v>
          </cell>
          <cell r="AU22">
            <v>0</v>
          </cell>
          <cell r="AV22">
            <v>0</v>
          </cell>
          <cell r="AW22">
            <v>0</v>
          </cell>
          <cell r="AX22">
            <v>0</v>
          </cell>
          <cell r="AY22">
            <v>24</v>
          </cell>
          <cell r="AZ22">
            <v>11</v>
          </cell>
          <cell r="BA22">
            <v>17</v>
          </cell>
          <cell r="BB22">
            <v>18</v>
          </cell>
          <cell r="BC22"/>
          <cell r="BE22"/>
          <cell r="BF22">
            <v>0</v>
          </cell>
          <cell r="BG22">
            <v>1</v>
          </cell>
          <cell r="BH22">
            <v>1</v>
          </cell>
          <cell r="BI22">
            <v>1</v>
          </cell>
          <cell r="BJ22">
            <v>0</v>
          </cell>
          <cell r="BK22">
            <v>0</v>
          </cell>
          <cell r="BL22">
            <v>0</v>
          </cell>
          <cell r="BM22">
            <v>1</v>
          </cell>
          <cell r="BN22">
            <v>1</v>
          </cell>
          <cell r="BO22">
            <v>0</v>
          </cell>
          <cell r="BP22">
            <v>1</v>
          </cell>
          <cell r="BQ22">
            <v>1</v>
          </cell>
          <cell r="BR22">
            <v>0</v>
          </cell>
          <cell r="BS22">
            <v>1</v>
          </cell>
          <cell r="BT22">
            <v>1</v>
          </cell>
          <cell r="BU22">
            <v>0</v>
          </cell>
          <cell r="BV22">
            <v>1</v>
          </cell>
          <cell r="BW22">
            <v>0</v>
          </cell>
          <cell r="BX22">
            <v>1</v>
          </cell>
          <cell r="BY22">
            <v>1</v>
          </cell>
          <cell r="BZ22">
            <v>0</v>
          </cell>
          <cell r="CA22">
            <v>1</v>
          </cell>
          <cell r="CB22">
            <v>1</v>
          </cell>
          <cell r="CC22">
            <v>0</v>
          </cell>
          <cell r="CD22">
            <v>1</v>
          </cell>
          <cell r="CE22">
            <v>1</v>
          </cell>
          <cell r="CF22">
            <v>1</v>
          </cell>
          <cell r="CG22">
            <v>1</v>
          </cell>
          <cell r="CH22">
            <v>0</v>
          </cell>
          <cell r="CI22">
            <v>1</v>
          </cell>
          <cell r="CJ22">
            <v>0</v>
          </cell>
          <cell r="CK22">
            <v>0</v>
          </cell>
          <cell r="CL22">
            <v>1</v>
          </cell>
          <cell r="CM22">
            <v>0</v>
          </cell>
          <cell r="CN22">
            <v>0</v>
          </cell>
          <cell r="CO22">
            <v>20</v>
          </cell>
          <cell r="CP22">
            <v>15</v>
          </cell>
        </row>
        <row r="23">
          <cell r="E23" t="str">
            <v>MTA00101-10100041</v>
          </cell>
          <cell r="F23" t="str">
            <v>PT.ROYAL SUPERMARKET - FANINDO</v>
          </cell>
          <cell r="G23">
            <v>5464300.5885243053</v>
          </cell>
          <cell r="H23">
            <v>4957734.1148611112</v>
          </cell>
          <cell r="I23" t="str">
            <v>BASELINE DIBAWAH AVG 2025</v>
          </cell>
          <cell r="J23">
            <v>6018903.4529861109</v>
          </cell>
          <cell r="K23">
            <v>2309098.8212499996</v>
          </cell>
          <cell r="L23" t="str">
            <v>DIBAWAH BASELINE</v>
          </cell>
          <cell r="P23">
            <v>0</v>
          </cell>
          <cell r="Q23">
            <v>0</v>
          </cell>
          <cell r="R23">
            <v>0</v>
          </cell>
          <cell r="S23">
            <v>0</v>
          </cell>
          <cell r="T23">
            <v>0</v>
          </cell>
          <cell r="U23">
            <v>0</v>
          </cell>
          <cell r="V23">
            <v>0</v>
          </cell>
          <cell r="W23">
            <v>1</v>
          </cell>
          <cell r="X23">
            <v>1</v>
          </cell>
          <cell r="Y23">
            <v>0</v>
          </cell>
          <cell r="Z23">
            <v>0</v>
          </cell>
          <cell r="AA23">
            <v>1</v>
          </cell>
          <cell r="AB23">
            <v>1</v>
          </cell>
          <cell r="AC23">
            <v>0</v>
          </cell>
          <cell r="AD23">
            <v>1</v>
          </cell>
          <cell r="AE23">
            <v>0</v>
          </cell>
          <cell r="AF23">
            <v>1</v>
          </cell>
          <cell r="AG23">
            <v>1</v>
          </cell>
          <cell r="AH23">
            <v>1</v>
          </cell>
          <cell r="AI23">
            <v>1</v>
          </cell>
          <cell r="AJ23">
            <v>1</v>
          </cell>
          <cell r="AK23">
            <v>1</v>
          </cell>
          <cell r="AL23">
            <v>1</v>
          </cell>
          <cell r="AM23">
            <v>1</v>
          </cell>
          <cell r="AN23">
            <v>0</v>
          </cell>
          <cell r="AO23">
            <v>0</v>
          </cell>
          <cell r="AP23">
            <v>0</v>
          </cell>
          <cell r="AQ23">
            <v>1</v>
          </cell>
          <cell r="AR23">
            <v>0</v>
          </cell>
          <cell r="AS23">
            <v>1</v>
          </cell>
          <cell r="AT23">
            <v>1</v>
          </cell>
          <cell r="AU23">
            <v>0</v>
          </cell>
          <cell r="AV23">
            <v>0</v>
          </cell>
          <cell r="AW23">
            <v>0</v>
          </cell>
          <cell r="AX23">
            <v>0</v>
          </cell>
          <cell r="AY23">
            <v>16</v>
          </cell>
          <cell r="AZ23">
            <v>19</v>
          </cell>
          <cell r="BA23">
            <v>9</v>
          </cell>
          <cell r="BB23">
            <v>26</v>
          </cell>
          <cell r="BC23"/>
          <cell r="BE23"/>
          <cell r="BF23">
            <v>0</v>
          </cell>
          <cell r="BG23">
            <v>0</v>
          </cell>
          <cell r="BH23">
            <v>0</v>
          </cell>
          <cell r="BI23">
            <v>0</v>
          </cell>
          <cell r="BJ23">
            <v>0</v>
          </cell>
          <cell r="BK23">
            <v>0</v>
          </cell>
          <cell r="BL23">
            <v>0</v>
          </cell>
          <cell r="BM23">
            <v>1</v>
          </cell>
          <cell r="BN23">
            <v>0</v>
          </cell>
          <cell r="BO23">
            <v>0</v>
          </cell>
          <cell r="BP23">
            <v>0</v>
          </cell>
          <cell r="BQ23">
            <v>1</v>
          </cell>
          <cell r="BR23">
            <v>0</v>
          </cell>
          <cell r="BS23">
            <v>0</v>
          </cell>
          <cell r="BT23">
            <v>0</v>
          </cell>
          <cell r="BU23">
            <v>0</v>
          </cell>
          <cell r="BV23">
            <v>0</v>
          </cell>
          <cell r="BW23">
            <v>0</v>
          </cell>
          <cell r="BX23">
            <v>0</v>
          </cell>
          <cell r="BY23">
            <v>0</v>
          </cell>
          <cell r="BZ23">
            <v>0</v>
          </cell>
          <cell r="CA23">
            <v>1</v>
          </cell>
          <cell r="CB23">
            <v>0</v>
          </cell>
          <cell r="CC23">
            <v>0</v>
          </cell>
          <cell r="CD23">
            <v>1</v>
          </cell>
          <cell r="CE23">
            <v>0</v>
          </cell>
          <cell r="CF23">
            <v>0</v>
          </cell>
          <cell r="CG23">
            <v>0</v>
          </cell>
          <cell r="CH23">
            <v>0</v>
          </cell>
          <cell r="CI23">
            <v>1</v>
          </cell>
          <cell r="CJ23">
            <v>1</v>
          </cell>
          <cell r="CK23">
            <v>0</v>
          </cell>
          <cell r="CL23">
            <v>0</v>
          </cell>
          <cell r="CM23">
            <v>0</v>
          </cell>
          <cell r="CN23">
            <v>0</v>
          </cell>
          <cell r="CO23">
            <v>6</v>
          </cell>
          <cell r="CP23">
            <v>29</v>
          </cell>
        </row>
        <row r="24">
          <cell r="E24" t="str">
            <v>MTA00101-10100042</v>
          </cell>
          <cell r="F24" t="str">
            <v>PT.ROYAL SUPERMARKET - PUNGGUR</v>
          </cell>
          <cell r="G24">
            <v>4358963.2672569454</v>
          </cell>
          <cell r="H24">
            <v>6662182.5121797845</v>
          </cell>
          <cell r="I24" t="str">
            <v>MAINTAIN</v>
          </cell>
          <cell r="J24">
            <v>11268621.002025463</v>
          </cell>
          <cell r="K24">
            <v>6392436.8400000008</v>
          </cell>
          <cell r="L24" t="str">
            <v>DIBAWAH BASELINE</v>
          </cell>
          <cell r="P24">
            <v>0</v>
          </cell>
          <cell r="Q24">
            <v>0</v>
          </cell>
          <cell r="R24">
            <v>0</v>
          </cell>
          <cell r="S24">
            <v>0</v>
          </cell>
          <cell r="T24">
            <v>0</v>
          </cell>
          <cell r="U24">
            <v>0</v>
          </cell>
          <cell r="V24">
            <v>0</v>
          </cell>
          <cell r="W24">
            <v>1</v>
          </cell>
          <cell r="X24">
            <v>1</v>
          </cell>
          <cell r="Y24">
            <v>0</v>
          </cell>
          <cell r="Z24">
            <v>0</v>
          </cell>
          <cell r="AA24">
            <v>0</v>
          </cell>
          <cell r="AB24">
            <v>0</v>
          </cell>
          <cell r="AC24">
            <v>0</v>
          </cell>
          <cell r="AD24">
            <v>0</v>
          </cell>
          <cell r="AE24">
            <v>0</v>
          </cell>
          <cell r="AF24">
            <v>0</v>
          </cell>
          <cell r="AG24">
            <v>1</v>
          </cell>
          <cell r="AH24">
            <v>1</v>
          </cell>
          <cell r="AI24">
            <v>1</v>
          </cell>
          <cell r="AJ24">
            <v>1</v>
          </cell>
          <cell r="AK24">
            <v>0</v>
          </cell>
          <cell r="AL24">
            <v>1</v>
          </cell>
          <cell r="AM24">
            <v>1</v>
          </cell>
          <cell r="AN24">
            <v>0</v>
          </cell>
          <cell r="AO24">
            <v>0</v>
          </cell>
          <cell r="AP24">
            <v>0</v>
          </cell>
          <cell r="AQ24">
            <v>1</v>
          </cell>
          <cell r="AR24">
            <v>0</v>
          </cell>
          <cell r="AS24">
            <v>1</v>
          </cell>
          <cell r="AT24">
            <v>0</v>
          </cell>
          <cell r="AU24">
            <v>0</v>
          </cell>
          <cell r="AV24">
            <v>0</v>
          </cell>
          <cell r="AW24">
            <v>0</v>
          </cell>
          <cell r="AX24">
            <v>0</v>
          </cell>
          <cell r="AY24">
            <v>10</v>
          </cell>
          <cell r="AZ24">
            <v>25</v>
          </cell>
          <cell r="BA24">
            <v>5</v>
          </cell>
          <cell r="BB24">
            <v>30</v>
          </cell>
          <cell r="BC24"/>
          <cell r="BE24"/>
          <cell r="BF24">
            <v>0</v>
          </cell>
          <cell r="BG24">
            <v>0</v>
          </cell>
          <cell r="BH24">
            <v>0</v>
          </cell>
          <cell r="BI24">
            <v>0</v>
          </cell>
          <cell r="BJ24">
            <v>0</v>
          </cell>
          <cell r="BK24">
            <v>0</v>
          </cell>
          <cell r="BL24">
            <v>0</v>
          </cell>
          <cell r="BM24">
            <v>1</v>
          </cell>
          <cell r="BN24">
            <v>1</v>
          </cell>
          <cell r="BO24">
            <v>0</v>
          </cell>
          <cell r="BP24">
            <v>0</v>
          </cell>
          <cell r="BQ24">
            <v>0</v>
          </cell>
          <cell r="BR24">
            <v>0</v>
          </cell>
          <cell r="BS24">
            <v>0</v>
          </cell>
          <cell r="BT24">
            <v>0</v>
          </cell>
          <cell r="BU24">
            <v>0</v>
          </cell>
          <cell r="BV24">
            <v>0</v>
          </cell>
          <cell r="BW24">
            <v>1</v>
          </cell>
          <cell r="BX24">
            <v>0</v>
          </cell>
          <cell r="BY24">
            <v>1</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4</v>
          </cell>
          <cell r="CP24">
            <v>31</v>
          </cell>
        </row>
        <row r="25">
          <cell r="E25" t="str">
            <v>MTA00101-10100025</v>
          </cell>
          <cell r="F25" t="str">
            <v>PT.ROYAL SUPERMARKET - CIPTA PURI</v>
          </cell>
          <cell r="G25">
            <v>6481041.7633333327</v>
          </cell>
          <cell r="H25">
            <v>6981056.7400810188</v>
          </cell>
          <cell r="I25" t="str">
            <v>MAINTAIN</v>
          </cell>
          <cell r="J25">
            <v>8626004.4680208322</v>
          </cell>
          <cell r="K25">
            <v>5067565.7568750009</v>
          </cell>
          <cell r="L25" t="str">
            <v>DIBAWAH BASELINE</v>
          </cell>
          <cell r="P25">
            <v>0</v>
          </cell>
          <cell r="Q25">
            <v>0</v>
          </cell>
          <cell r="R25">
            <v>0</v>
          </cell>
          <cell r="S25">
            <v>0</v>
          </cell>
          <cell r="T25">
            <v>0</v>
          </cell>
          <cell r="U25">
            <v>0</v>
          </cell>
          <cell r="V25">
            <v>0</v>
          </cell>
          <cell r="W25">
            <v>1</v>
          </cell>
          <cell r="X25">
            <v>1</v>
          </cell>
          <cell r="Y25">
            <v>0</v>
          </cell>
          <cell r="Z25">
            <v>0</v>
          </cell>
          <cell r="AA25">
            <v>0</v>
          </cell>
          <cell r="AB25">
            <v>0</v>
          </cell>
          <cell r="AC25">
            <v>0</v>
          </cell>
          <cell r="AD25">
            <v>0</v>
          </cell>
          <cell r="AE25">
            <v>0</v>
          </cell>
          <cell r="AF25">
            <v>1</v>
          </cell>
          <cell r="AG25">
            <v>1</v>
          </cell>
          <cell r="AH25">
            <v>1</v>
          </cell>
          <cell r="AI25">
            <v>1</v>
          </cell>
          <cell r="AJ25">
            <v>1</v>
          </cell>
          <cell r="AK25">
            <v>1</v>
          </cell>
          <cell r="AL25">
            <v>1</v>
          </cell>
          <cell r="AM25">
            <v>1</v>
          </cell>
          <cell r="AN25">
            <v>0</v>
          </cell>
          <cell r="AO25">
            <v>0</v>
          </cell>
          <cell r="AP25">
            <v>1</v>
          </cell>
          <cell r="AQ25">
            <v>1</v>
          </cell>
          <cell r="AR25">
            <v>0</v>
          </cell>
          <cell r="AS25">
            <v>1</v>
          </cell>
          <cell r="AT25">
            <v>0</v>
          </cell>
          <cell r="AU25">
            <v>0</v>
          </cell>
          <cell r="AV25">
            <v>0</v>
          </cell>
          <cell r="AW25">
            <v>0</v>
          </cell>
          <cell r="AX25">
            <v>0</v>
          </cell>
          <cell r="AY25">
            <v>13</v>
          </cell>
          <cell r="AZ25">
            <v>22</v>
          </cell>
          <cell r="BA25">
            <v>8</v>
          </cell>
          <cell r="BB25">
            <v>27</v>
          </cell>
          <cell r="BC25"/>
          <cell r="BE25"/>
          <cell r="BF25">
            <v>0</v>
          </cell>
          <cell r="BG25">
            <v>0</v>
          </cell>
          <cell r="BH25">
            <v>0</v>
          </cell>
          <cell r="BI25">
            <v>0</v>
          </cell>
          <cell r="BJ25">
            <v>0</v>
          </cell>
          <cell r="BK25">
            <v>0</v>
          </cell>
          <cell r="BL25">
            <v>0</v>
          </cell>
          <cell r="BM25">
            <v>1</v>
          </cell>
          <cell r="BN25">
            <v>1</v>
          </cell>
          <cell r="BO25">
            <v>0</v>
          </cell>
          <cell r="BP25">
            <v>0</v>
          </cell>
          <cell r="BQ25">
            <v>0</v>
          </cell>
          <cell r="BR25">
            <v>0</v>
          </cell>
          <cell r="BS25">
            <v>0</v>
          </cell>
          <cell r="BT25">
            <v>0</v>
          </cell>
          <cell r="BU25">
            <v>0</v>
          </cell>
          <cell r="BV25">
            <v>0</v>
          </cell>
          <cell r="BW25">
            <v>1</v>
          </cell>
          <cell r="BX25">
            <v>0</v>
          </cell>
          <cell r="BY25">
            <v>0</v>
          </cell>
          <cell r="BZ25">
            <v>0</v>
          </cell>
          <cell r="CA25">
            <v>0</v>
          </cell>
          <cell r="CB25">
            <v>1</v>
          </cell>
          <cell r="CC25">
            <v>0</v>
          </cell>
          <cell r="CD25">
            <v>1</v>
          </cell>
          <cell r="CE25">
            <v>1</v>
          </cell>
          <cell r="CF25">
            <v>0</v>
          </cell>
          <cell r="CG25">
            <v>0</v>
          </cell>
          <cell r="CH25">
            <v>0</v>
          </cell>
          <cell r="CI25">
            <v>0</v>
          </cell>
          <cell r="CJ25">
            <v>1</v>
          </cell>
          <cell r="CK25">
            <v>0</v>
          </cell>
          <cell r="CL25">
            <v>0</v>
          </cell>
          <cell r="CM25">
            <v>0</v>
          </cell>
          <cell r="CN25">
            <v>0</v>
          </cell>
          <cell r="CO25">
            <v>7</v>
          </cell>
          <cell r="CP25">
            <v>28</v>
          </cell>
        </row>
        <row r="26">
          <cell r="E26" t="str">
            <v>MTA00101-10100040</v>
          </cell>
          <cell r="F26" t="str">
            <v>PT.ROYAL SUPERMARKET - DAPUR 12</v>
          </cell>
          <cell r="G26">
            <v>26051946.149505202</v>
          </cell>
          <cell r="H26">
            <v>24491322.092050541</v>
          </cell>
          <cell r="I26" t="str">
            <v>BASELINE DIBAWAH AVG 2025</v>
          </cell>
          <cell r="J26">
            <v>31054471.396510419</v>
          </cell>
          <cell r="K26">
            <v>23931362.930625007</v>
          </cell>
          <cell r="L26" t="str">
            <v>DIBAWAH BASELINE</v>
          </cell>
          <cell r="P26">
            <v>0</v>
          </cell>
          <cell r="Q26">
            <v>0</v>
          </cell>
          <cell r="R26">
            <v>0</v>
          </cell>
          <cell r="S26">
            <v>0</v>
          </cell>
          <cell r="T26">
            <v>0</v>
          </cell>
          <cell r="U26">
            <v>0</v>
          </cell>
          <cell r="V26">
            <v>0</v>
          </cell>
          <cell r="W26">
            <v>1</v>
          </cell>
          <cell r="X26">
            <v>1</v>
          </cell>
          <cell r="Y26">
            <v>0</v>
          </cell>
          <cell r="Z26">
            <v>0</v>
          </cell>
          <cell r="AA26">
            <v>0</v>
          </cell>
          <cell r="AB26">
            <v>0</v>
          </cell>
          <cell r="AC26">
            <v>0</v>
          </cell>
          <cell r="AD26">
            <v>1</v>
          </cell>
          <cell r="AE26">
            <v>0</v>
          </cell>
          <cell r="AF26">
            <v>1</v>
          </cell>
          <cell r="AG26">
            <v>1</v>
          </cell>
          <cell r="AH26">
            <v>1</v>
          </cell>
          <cell r="AI26">
            <v>1</v>
          </cell>
          <cell r="AJ26">
            <v>1</v>
          </cell>
          <cell r="AK26">
            <v>1</v>
          </cell>
          <cell r="AL26">
            <v>1</v>
          </cell>
          <cell r="AM26">
            <v>1</v>
          </cell>
          <cell r="AN26">
            <v>0</v>
          </cell>
          <cell r="AO26">
            <v>0</v>
          </cell>
          <cell r="AP26">
            <v>1</v>
          </cell>
          <cell r="AQ26">
            <v>1</v>
          </cell>
          <cell r="AR26">
            <v>0</v>
          </cell>
          <cell r="AS26">
            <v>1</v>
          </cell>
          <cell r="AT26">
            <v>0</v>
          </cell>
          <cell r="AU26">
            <v>0</v>
          </cell>
          <cell r="AV26">
            <v>0</v>
          </cell>
          <cell r="AW26">
            <v>0</v>
          </cell>
          <cell r="AX26">
            <v>0</v>
          </cell>
          <cell r="AY26">
            <v>14</v>
          </cell>
          <cell r="AZ26">
            <v>21</v>
          </cell>
          <cell r="BA26">
            <v>9</v>
          </cell>
          <cell r="BB26">
            <v>26</v>
          </cell>
          <cell r="BC26"/>
          <cell r="BE26"/>
          <cell r="BF26">
            <v>0</v>
          </cell>
          <cell r="BG26">
            <v>0</v>
          </cell>
          <cell r="BH26">
            <v>0</v>
          </cell>
          <cell r="BI26">
            <v>0</v>
          </cell>
          <cell r="BJ26">
            <v>0</v>
          </cell>
          <cell r="BK26">
            <v>0</v>
          </cell>
          <cell r="BL26">
            <v>0</v>
          </cell>
          <cell r="BM26">
            <v>1</v>
          </cell>
          <cell r="BN26">
            <v>1</v>
          </cell>
          <cell r="BO26">
            <v>0</v>
          </cell>
          <cell r="BP26">
            <v>0</v>
          </cell>
          <cell r="BQ26">
            <v>0</v>
          </cell>
          <cell r="BR26">
            <v>0</v>
          </cell>
          <cell r="BS26">
            <v>0</v>
          </cell>
          <cell r="BT26">
            <v>0</v>
          </cell>
          <cell r="BU26">
            <v>0</v>
          </cell>
          <cell r="BV26">
            <v>1</v>
          </cell>
          <cell r="BW26">
            <v>1</v>
          </cell>
          <cell r="BX26">
            <v>0</v>
          </cell>
          <cell r="BY26">
            <v>1</v>
          </cell>
          <cell r="BZ26">
            <v>0</v>
          </cell>
          <cell r="CA26">
            <v>1</v>
          </cell>
          <cell r="CB26">
            <v>1</v>
          </cell>
          <cell r="CC26">
            <v>0</v>
          </cell>
          <cell r="CD26">
            <v>1</v>
          </cell>
          <cell r="CE26">
            <v>0</v>
          </cell>
          <cell r="CF26">
            <v>0</v>
          </cell>
          <cell r="CG26">
            <v>0</v>
          </cell>
          <cell r="CH26">
            <v>0</v>
          </cell>
          <cell r="CI26">
            <v>0</v>
          </cell>
          <cell r="CJ26">
            <v>0</v>
          </cell>
          <cell r="CK26">
            <v>0</v>
          </cell>
          <cell r="CL26">
            <v>0</v>
          </cell>
          <cell r="CM26">
            <v>0</v>
          </cell>
          <cell r="CN26">
            <v>0</v>
          </cell>
          <cell r="CO26">
            <v>8</v>
          </cell>
          <cell r="CP26">
            <v>27</v>
          </cell>
        </row>
        <row r="27">
          <cell r="E27" t="str">
            <v>MTA00101-10100053</v>
          </cell>
          <cell r="F27" t="str">
            <v>PT.ROYAL SUPERMARKET - BATU BESAR</v>
          </cell>
          <cell r="G27">
            <v>6526560.1862760438</v>
          </cell>
          <cell r="H27">
            <v>6328912.6751099536</v>
          </cell>
          <cell r="I27" t="str">
            <v>BASELINE DIBAWAH AVG 2025</v>
          </cell>
          <cell r="J27">
            <v>7489232.6128645847</v>
          </cell>
          <cell r="K27">
            <v>913513.77375000005</v>
          </cell>
          <cell r="L27" t="str">
            <v>DIBAWAH BASELINE</v>
          </cell>
          <cell r="P27">
            <v>0</v>
          </cell>
          <cell r="Q27">
            <v>0</v>
          </cell>
          <cell r="R27">
            <v>0</v>
          </cell>
          <cell r="S27">
            <v>0</v>
          </cell>
          <cell r="T27">
            <v>0</v>
          </cell>
          <cell r="U27">
            <v>0</v>
          </cell>
          <cell r="V27">
            <v>0</v>
          </cell>
          <cell r="W27">
            <v>1</v>
          </cell>
          <cell r="X27">
            <v>1</v>
          </cell>
          <cell r="Y27">
            <v>0</v>
          </cell>
          <cell r="Z27">
            <v>0</v>
          </cell>
          <cell r="AA27">
            <v>0</v>
          </cell>
          <cell r="AB27">
            <v>0</v>
          </cell>
          <cell r="AC27">
            <v>1</v>
          </cell>
          <cell r="AD27">
            <v>1</v>
          </cell>
          <cell r="AE27">
            <v>0</v>
          </cell>
          <cell r="AF27">
            <v>1</v>
          </cell>
          <cell r="AG27">
            <v>1</v>
          </cell>
          <cell r="AH27">
            <v>1</v>
          </cell>
          <cell r="AI27">
            <v>1</v>
          </cell>
          <cell r="AJ27">
            <v>1</v>
          </cell>
          <cell r="AK27">
            <v>1</v>
          </cell>
          <cell r="AL27">
            <v>1</v>
          </cell>
          <cell r="AM27">
            <v>1</v>
          </cell>
          <cell r="AN27">
            <v>0</v>
          </cell>
          <cell r="AO27">
            <v>0</v>
          </cell>
          <cell r="AP27">
            <v>0</v>
          </cell>
          <cell r="AQ27">
            <v>1</v>
          </cell>
          <cell r="AR27">
            <v>0</v>
          </cell>
          <cell r="AS27">
            <v>1</v>
          </cell>
          <cell r="AT27">
            <v>0</v>
          </cell>
          <cell r="AU27">
            <v>0</v>
          </cell>
          <cell r="AV27">
            <v>0</v>
          </cell>
          <cell r="AW27">
            <v>0</v>
          </cell>
          <cell r="AX27">
            <v>0</v>
          </cell>
          <cell r="AY27">
            <v>14</v>
          </cell>
          <cell r="AZ27">
            <v>21</v>
          </cell>
          <cell r="BA27">
            <v>9</v>
          </cell>
          <cell r="BB27">
            <v>26</v>
          </cell>
          <cell r="BC27"/>
          <cell r="BE27"/>
          <cell r="BF27">
            <v>0</v>
          </cell>
          <cell r="BG27">
            <v>0</v>
          </cell>
          <cell r="BH27">
            <v>0</v>
          </cell>
          <cell r="BI27">
            <v>0</v>
          </cell>
          <cell r="BJ27">
            <v>0</v>
          </cell>
          <cell r="BK27">
            <v>0</v>
          </cell>
          <cell r="BL27">
            <v>0</v>
          </cell>
          <cell r="BM27">
            <v>1</v>
          </cell>
          <cell r="BN27">
            <v>0</v>
          </cell>
          <cell r="BO27">
            <v>0</v>
          </cell>
          <cell r="BP27">
            <v>0</v>
          </cell>
          <cell r="BQ27">
            <v>0</v>
          </cell>
          <cell r="BR27">
            <v>0</v>
          </cell>
          <cell r="BS27">
            <v>0</v>
          </cell>
          <cell r="BT27">
            <v>0</v>
          </cell>
          <cell r="BU27">
            <v>0</v>
          </cell>
          <cell r="BV27">
            <v>0</v>
          </cell>
          <cell r="BW27">
            <v>0</v>
          </cell>
          <cell r="BX27">
            <v>0</v>
          </cell>
          <cell r="BY27">
            <v>0</v>
          </cell>
          <cell r="BZ27">
            <v>0</v>
          </cell>
          <cell r="CA27">
            <v>1</v>
          </cell>
          <cell r="CB27">
            <v>0</v>
          </cell>
          <cell r="CC27">
            <v>0</v>
          </cell>
          <cell r="CD27">
            <v>1</v>
          </cell>
          <cell r="CE27">
            <v>0</v>
          </cell>
          <cell r="CF27">
            <v>0</v>
          </cell>
          <cell r="CG27">
            <v>0</v>
          </cell>
          <cell r="CH27">
            <v>0</v>
          </cell>
          <cell r="CI27">
            <v>0</v>
          </cell>
          <cell r="CJ27">
            <v>0</v>
          </cell>
          <cell r="CK27">
            <v>0</v>
          </cell>
          <cell r="CL27">
            <v>1</v>
          </cell>
          <cell r="CM27">
            <v>0</v>
          </cell>
          <cell r="CN27">
            <v>0</v>
          </cell>
          <cell r="CO27">
            <v>4</v>
          </cell>
          <cell r="CP27">
            <v>31</v>
          </cell>
        </row>
        <row r="28">
          <cell r="E28" t="str">
            <v>MTA00101-10100059</v>
          </cell>
          <cell r="F28" t="str">
            <v>PT.ROYAL SUPERMARKET - PASIR PUTIH</v>
          </cell>
          <cell r="G28">
            <v>3761253.3323437502</v>
          </cell>
          <cell r="H28">
            <v>3089371.4356828704</v>
          </cell>
          <cell r="I28" t="str">
            <v>BASELINE DIBAWAH AVG 2025</v>
          </cell>
          <cell r="J28">
            <v>4764729.7438541679</v>
          </cell>
          <cell r="K28">
            <v>0</v>
          </cell>
          <cell r="L28" t="str">
            <v>BELUM TRANSAKSI</v>
          </cell>
          <cell r="P28">
            <v>0</v>
          </cell>
          <cell r="Q28">
            <v>0</v>
          </cell>
          <cell r="R28">
            <v>0</v>
          </cell>
          <cell r="S28">
            <v>0</v>
          </cell>
          <cell r="T28">
            <v>0</v>
          </cell>
          <cell r="U28">
            <v>0</v>
          </cell>
          <cell r="V28">
            <v>0</v>
          </cell>
          <cell r="W28">
            <v>1</v>
          </cell>
          <cell r="X28">
            <v>1</v>
          </cell>
          <cell r="Y28">
            <v>0</v>
          </cell>
          <cell r="Z28">
            <v>0</v>
          </cell>
          <cell r="AA28">
            <v>1</v>
          </cell>
          <cell r="AB28">
            <v>1</v>
          </cell>
          <cell r="AC28">
            <v>0</v>
          </cell>
          <cell r="AD28">
            <v>1</v>
          </cell>
          <cell r="AE28">
            <v>0</v>
          </cell>
          <cell r="AF28">
            <v>0</v>
          </cell>
          <cell r="AG28">
            <v>1</v>
          </cell>
          <cell r="AH28">
            <v>1</v>
          </cell>
          <cell r="AI28">
            <v>1</v>
          </cell>
          <cell r="AJ28">
            <v>1</v>
          </cell>
          <cell r="AK28">
            <v>0</v>
          </cell>
          <cell r="AL28">
            <v>1</v>
          </cell>
          <cell r="AM28">
            <v>1</v>
          </cell>
          <cell r="AN28">
            <v>0</v>
          </cell>
          <cell r="AO28">
            <v>0</v>
          </cell>
          <cell r="AP28">
            <v>0</v>
          </cell>
          <cell r="AQ28">
            <v>1</v>
          </cell>
          <cell r="AR28">
            <v>0</v>
          </cell>
          <cell r="AS28">
            <v>1</v>
          </cell>
          <cell r="AT28">
            <v>1</v>
          </cell>
          <cell r="AU28">
            <v>0</v>
          </cell>
          <cell r="AV28">
            <v>0</v>
          </cell>
          <cell r="AW28">
            <v>0</v>
          </cell>
          <cell r="AX28">
            <v>0</v>
          </cell>
          <cell r="AY28">
            <v>14</v>
          </cell>
          <cell r="AZ28">
            <v>21</v>
          </cell>
          <cell r="BA28">
            <v>1</v>
          </cell>
          <cell r="BB28">
            <v>34</v>
          </cell>
          <cell r="BC28"/>
          <cell r="BE28"/>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35</v>
          </cell>
        </row>
        <row r="29">
          <cell r="E29" t="str">
            <v>MTA00101-10100005</v>
          </cell>
          <cell r="F29" t="str">
            <v>PT.ROYAL SUPERMARKET - MEGA LEGENDA</v>
          </cell>
          <cell r="G29">
            <v>7364255.5251562493</v>
          </cell>
          <cell r="H29">
            <v>6967035.9363310188</v>
          </cell>
          <cell r="I29" t="str">
            <v>BASELINE DIBAWAH AVG 2025</v>
          </cell>
          <cell r="J29">
            <v>7527010.8581250003</v>
          </cell>
          <cell r="K29">
            <v>18049739.460000005</v>
          </cell>
          <cell r="L29" t="str">
            <v>OK</v>
          </cell>
          <cell r="P29">
            <v>0</v>
          </cell>
          <cell r="Q29">
            <v>0</v>
          </cell>
          <cell r="R29">
            <v>0</v>
          </cell>
          <cell r="S29">
            <v>0</v>
          </cell>
          <cell r="T29">
            <v>0</v>
          </cell>
          <cell r="U29">
            <v>0</v>
          </cell>
          <cell r="V29">
            <v>0</v>
          </cell>
          <cell r="W29">
            <v>1</v>
          </cell>
          <cell r="X29">
            <v>1</v>
          </cell>
          <cell r="Y29">
            <v>0</v>
          </cell>
          <cell r="Z29">
            <v>0</v>
          </cell>
          <cell r="AA29">
            <v>0</v>
          </cell>
          <cell r="AB29">
            <v>0</v>
          </cell>
          <cell r="AC29">
            <v>0</v>
          </cell>
          <cell r="AD29">
            <v>1</v>
          </cell>
          <cell r="AE29">
            <v>0</v>
          </cell>
          <cell r="AF29">
            <v>0</v>
          </cell>
          <cell r="AG29">
            <v>1</v>
          </cell>
          <cell r="AH29">
            <v>1</v>
          </cell>
          <cell r="AI29">
            <v>1</v>
          </cell>
          <cell r="AJ29">
            <v>1</v>
          </cell>
          <cell r="AK29">
            <v>1</v>
          </cell>
          <cell r="AL29">
            <v>1</v>
          </cell>
          <cell r="AM29">
            <v>1</v>
          </cell>
          <cell r="AN29">
            <v>0</v>
          </cell>
          <cell r="AO29">
            <v>0</v>
          </cell>
          <cell r="AP29">
            <v>0</v>
          </cell>
          <cell r="AQ29">
            <v>1</v>
          </cell>
          <cell r="AR29">
            <v>0</v>
          </cell>
          <cell r="AS29">
            <v>1</v>
          </cell>
          <cell r="AT29">
            <v>0</v>
          </cell>
          <cell r="AU29">
            <v>0</v>
          </cell>
          <cell r="AV29">
            <v>0</v>
          </cell>
          <cell r="AW29">
            <v>0</v>
          </cell>
          <cell r="AX29">
            <v>0</v>
          </cell>
          <cell r="AY29">
            <v>12</v>
          </cell>
          <cell r="AZ29">
            <v>23</v>
          </cell>
          <cell r="BA29">
            <v>7</v>
          </cell>
          <cell r="BB29">
            <v>28</v>
          </cell>
          <cell r="BC29"/>
          <cell r="BE29"/>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1</v>
          </cell>
          <cell r="BZ29">
            <v>0</v>
          </cell>
          <cell r="CA29">
            <v>1</v>
          </cell>
          <cell r="CB29">
            <v>1</v>
          </cell>
          <cell r="CC29">
            <v>0</v>
          </cell>
          <cell r="CD29">
            <v>0</v>
          </cell>
          <cell r="CE29">
            <v>0</v>
          </cell>
          <cell r="CF29">
            <v>0</v>
          </cell>
          <cell r="CG29">
            <v>0</v>
          </cell>
          <cell r="CH29">
            <v>0</v>
          </cell>
          <cell r="CI29">
            <v>1</v>
          </cell>
          <cell r="CJ29">
            <v>1</v>
          </cell>
          <cell r="CK29">
            <v>0</v>
          </cell>
          <cell r="CL29">
            <v>1</v>
          </cell>
          <cell r="CM29">
            <v>0</v>
          </cell>
          <cell r="CN29">
            <v>0</v>
          </cell>
          <cell r="CO29">
            <v>6</v>
          </cell>
          <cell r="CP29">
            <v>29</v>
          </cell>
        </row>
        <row r="30">
          <cell r="E30" t="str">
            <v>MTA00101-10100007</v>
          </cell>
          <cell r="F30" t="str">
            <v>PT.ROYAL MINIMARKET - TIBAN PALAPA</v>
          </cell>
          <cell r="G30">
            <v>1066749.1843229169</v>
          </cell>
          <cell r="H30">
            <v>1235935.7562731481</v>
          </cell>
          <cell r="I30" t="str">
            <v>MAINTAIN</v>
          </cell>
          <cell r="J30">
            <v>1574308.900173611</v>
          </cell>
          <cell r="K30">
            <v>0</v>
          </cell>
          <cell r="L30" t="str">
            <v>BELUM TRANSAKSI</v>
          </cell>
          <cell r="P30">
            <v>0</v>
          </cell>
          <cell r="Q30">
            <v>0</v>
          </cell>
          <cell r="R30">
            <v>0</v>
          </cell>
          <cell r="S30">
            <v>0</v>
          </cell>
          <cell r="T30">
            <v>0</v>
          </cell>
          <cell r="U30">
            <v>0</v>
          </cell>
          <cell r="V30">
            <v>0</v>
          </cell>
          <cell r="W30">
            <v>0</v>
          </cell>
          <cell r="X30">
            <v>1</v>
          </cell>
          <cell r="Y30">
            <v>0</v>
          </cell>
          <cell r="Z30">
            <v>0</v>
          </cell>
          <cell r="AA30">
            <v>0</v>
          </cell>
          <cell r="AB30">
            <v>0</v>
          </cell>
          <cell r="AC30">
            <v>0</v>
          </cell>
          <cell r="AD30">
            <v>1</v>
          </cell>
          <cell r="AE30">
            <v>0</v>
          </cell>
          <cell r="AF30">
            <v>0</v>
          </cell>
          <cell r="AG30">
            <v>1</v>
          </cell>
          <cell r="AH30">
            <v>1</v>
          </cell>
          <cell r="AI30">
            <v>1</v>
          </cell>
          <cell r="AJ30">
            <v>1</v>
          </cell>
          <cell r="AK30">
            <v>0</v>
          </cell>
          <cell r="AL30">
            <v>1</v>
          </cell>
          <cell r="AM30">
            <v>1</v>
          </cell>
          <cell r="AN30">
            <v>0</v>
          </cell>
          <cell r="AO30">
            <v>0</v>
          </cell>
          <cell r="AP30">
            <v>0</v>
          </cell>
          <cell r="AQ30">
            <v>1</v>
          </cell>
          <cell r="AR30">
            <v>0</v>
          </cell>
          <cell r="AS30">
            <v>0</v>
          </cell>
          <cell r="AT30">
            <v>0</v>
          </cell>
          <cell r="AU30">
            <v>0</v>
          </cell>
          <cell r="AV30">
            <v>0</v>
          </cell>
          <cell r="AW30">
            <v>0</v>
          </cell>
          <cell r="AX30">
            <v>0</v>
          </cell>
          <cell r="AY30">
            <v>9</v>
          </cell>
          <cell r="AZ30">
            <v>26</v>
          </cell>
          <cell r="BA30">
            <v>4</v>
          </cell>
          <cell r="BB30">
            <v>31</v>
          </cell>
          <cell r="BC30"/>
          <cell r="BE30"/>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35</v>
          </cell>
        </row>
        <row r="31">
          <cell r="E31" t="str">
            <v>MTA00101-10100013</v>
          </cell>
          <cell r="F31" t="str">
            <v>PT.ROYAL SUPERMARKET - KAMPUNG DURIAN</v>
          </cell>
          <cell r="G31">
            <v>4886665.3569791671</v>
          </cell>
          <cell r="H31">
            <v>4495859.7368287044</v>
          </cell>
          <cell r="I31" t="str">
            <v>BASELINE DIBAWAH AVG 2025</v>
          </cell>
          <cell r="J31">
            <v>5399188.0792708341</v>
          </cell>
          <cell r="K31">
            <v>0</v>
          </cell>
          <cell r="L31" t="str">
            <v>BELUM TRANSAKSI</v>
          </cell>
          <cell r="P31">
            <v>0</v>
          </cell>
          <cell r="Q31">
            <v>0</v>
          </cell>
          <cell r="R31">
            <v>0</v>
          </cell>
          <cell r="S31">
            <v>0</v>
          </cell>
          <cell r="T31">
            <v>0</v>
          </cell>
          <cell r="U31">
            <v>0</v>
          </cell>
          <cell r="V31">
            <v>0</v>
          </cell>
          <cell r="W31">
            <v>1</v>
          </cell>
          <cell r="X31">
            <v>1</v>
          </cell>
          <cell r="Y31">
            <v>0</v>
          </cell>
          <cell r="Z31">
            <v>0</v>
          </cell>
          <cell r="AA31">
            <v>0</v>
          </cell>
          <cell r="AB31">
            <v>0</v>
          </cell>
          <cell r="AC31">
            <v>0</v>
          </cell>
          <cell r="AD31">
            <v>1</v>
          </cell>
          <cell r="AE31">
            <v>0</v>
          </cell>
          <cell r="AF31">
            <v>1</v>
          </cell>
          <cell r="AG31">
            <v>1</v>
          </cell>
          <cell r="AH31">
            <v>1</v>
          </cell>
          <cell r="AI31">
            <v>1</v>
          </cell>
          <cell r="AJ31">
            <v>1</v>
          </cell>
          <cell r="AK31">
            <v>1</v>
          </cell>
          <cell r="AL31">
            <v>1</v>
          </cell>
          <cell r="AM31">
            <v>1</v>
          </cell>
          <cell r="AN31">
            <v>0</v>
          </cell>
          <cell r="AO31">
            <v>0</v>
          </cell>
          <cell r="AP31">
            <v>0</v>
          </cell>
          <cell r="AQ31">
            <v>1</v>
          </cell>
          <cell r="AR31">
            <v>0</v>
          </cell>
          <cell r="AS31">
            <v>1</v>
          </cell>
          <cell r="AT31">
            <v>0</v>
          </cell>
          <cell r="AU31">
            <v>0</v>
          </cell>
          <cell r="AV31">
            <v>0</v>
          </cell>
          <cell r="AW31">
            <v>0</v>
          </cell>
          <cell r="AX31">
            <v>0</v>
          </cell>
          <cell r="AY31">
            <v>13</v>
          </cell>
          <cell r="AZ31">
            <v>22</v>
          </cell>
          <cell r="BA31">
            <v>4</v>
          </cell>
          <cell r="BB31">
            <v>31</v>
          </cell>
          <cell r="BC31"/>
          <cell r="BE31"/>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35</v>
          </cell>
        </row>
        <row r="32">
          <cell r="E32" t="str">
            <v>MTA00101-10100043</v>
          </cell>
          <cell r="F32" t="str">
            <v>PT.JODOH CENTRE BENGKONG</v>
          </cell>
          <cell r="G32">
            <v>8451320.02908854</v>
          </cell>
          <cell r="H32">
            <v>8543708.5028028563</v>
          </cell>
          <cell r="I32" t="str">
            <v>MAINTAIN</v>
          </cell>
          <cell r="J32">
            <v>8753287.0386458319</v>
          </cell>
          <cell r="K32">
            <v>4806847.270624999</v>
          </cell>
          <cell r="L32" t="str">
            <v>DIBAWAH BASELINE</v>
          </cell>
          <cell r="P32">
            <v>0</v>
          </cell>
          <cell r="Q32">
            <v>1</v>
          </cell>
          <cell r="R32">
            <v>0</v>
          </cell>
          <cell r="S32">
            <v>1</v>
          </cell>
          <cell r="T32">
            <v>0</v>
          </cell>
          <cell r="U32">
            <v>0</v>
          </cell>
          <cell r="V32">
            <v>0</v>
          </cell>
          <cell r="W32">
            <v>1</v>
          </cell>
          <cell r="X32">
            <v>1</v>
          </cell>
          <cell r="Y32">
            <v>0</v>
          </cell>
          <cell r="Z32">
            <v>0</v>
          </cell>
          <cell r="AA32">
            <v>1</v>
          </cell>
          <cell r="AB32">
            <v>1</v>
          </cell>
          <cell r="AC32">
            <v>0</v>
          </cell>
          <cell r="AD32">
            <v>1</v>
          </cell>
          <cell r="AE32">
            <v>1</v>
          </cell>
          <cell r="AF32">
            <v>1</v>
          </cell>
          <cell r="AG32">
            <v>1</v>
          </cell>
          <cell r="AH32">
            <v>1</v>
          </cell>
          <cell r="AI32">
            <v>1</v>
          </cell>
          <cell r="AJ32">
            <v>1</v>
          </cell>
          <cell r="AK32">
            <v>1</v>
          </cell>
          <cell r="AL32">
            <v>1</v>
          </cell>
          <cell r="AM32">
            <v>1</v>
          </cell>
          <cell r="AN32">
            <v>1</v>
          </cell>
          <cell r="AO32">
            <v>0</v>
          </cell>
          <cell r="AP32">
            <v>0</v>
          </cell>
          <cell r="AQ32">
            <v>1</v>
          </cell>
          <cell r="AR32">
            <v>1</v>
          </cell>
          <cell r="AS32">
            <v>1</v>
          </cell>
          <cell r="AT32">
            <v>1</v>
          </cell>
          <cell r="AU32">
            <v>0</v>
          </cell>
          <cell r="AV32">
            <v>0</v>
          </cell>
          <cell r="AW32">
            <v>0</v>
          </cell>
          <cell r="AX32">
            <v>0</v>
          </cell>
          <cell r="AY32">
            <v>21</v>
          </cell>
          <cell r="AZ32">
            <v>14</v>
          </cell>
          <cell r="BA32">
            <v>13</v>
          </cell>
          <cell r="BB32">
            <v>22</v>
          </cell>
          <cell r="BC32"/>
          <cell r="BE32"/>
          <cell r="BF32">
            <v>0</v>
          </cell>
          <cell r="BG32">
            <v>0</v>
          </cell>
          <cell r="BH32">
            <v>0</v>
          </cell>
          <cell r="BI32">
            <v>0</v>
          </cell>
          <cell r="BJ32">
            <v>0</v>
          </cell>
          <cell r="BK32">
            <v>0</v>
          </cell>
          <cell r="BL32">
            <v>0</v>
          </cell>
          <cell r="BM32">
            <v>1</v>
          </cell>
          <cell r="BN32">
            <v>0</v>
          </cell>
          <cell r="BO32">
            <v>0</v>
          </cell>
          <cell r="BP32">
            <v>0</v>
          </cell>
          <cell r="BQ32">
            <v>0</v>
          </cell>
          <cell r="BR32">
            <v>1</v>
          </cell>
          <cell r="BS32">
            <v>0</v>
          </cell>
          <cell r="BT32">
            <v>0</v>
          </cell>
          <cell r="BU32">
            <v>0</v>
          </cell>
          <cell r="BV32">
            <v>1</v>
          </cell>
          <cell r="BW32">
            <v>0</v>
          </cell>
          <cell r="BX32">
            <v>1</v>
          </cell>
          <cell r="BY32">
            <v>1</v>
          </cell>
          <cell r="BZ32">
            <v>0</v>
          </cell>
          <cell r="CA32">
            <v>1</v>
          </cell>
          <cell r="CB32">
            <v>1</v>
          </cell>
          <cell r="CC32">
            <v>0</v>
          </cell>
          <cell r="CD32">
            <v>1</v>
          </cell>
          <cell r="CE32">
            <v>0</v>
          </cell>
          <cell r="CF32">
            <v>0</v>
          </cell>
          <cell r="CG32">
            <v>0</v>
          </cell>
          <cell r="CH32">
            <v>0</v>
          </cell>
          <cell r="CI32">
            <v>0</v>
          </cell>
          <cell r="CJ32">
            <v>0</v>
          </cell>
          <cell r="CK32">
            <v>0</v>
          </cell>
          <cell r="CL32">
            <v>0</v>
          </cell>
          <cell r="CM32">
            <v>0</v>
          </cell>
          <cell r="CN32">
            <v>0</v>
          </cell>
          <cell r="CO32">
            <v>8</v>
          </cell>
          <cell r="CP32">
            <v>27</v>
          </cell>
        </row>
        <row r="33">
          <cell r="E33" t="str">
            <v>MTA00101-10100030</v>
          </cell>
          <cell r="F33" t="str">
            <v>PT.JODOH CENTRE JODOH</v>
          </cell>
          <cell r="G33">
            <v>5999451.591015623</v>
          </cell>
          <cell r="H33">
            <v>5748197.5708043985</v>
          </cell>
          <cell r="I33" t="str">
            <v>BASELINE DIBAWAH AVG 2025</v>
          </cell>
          <cell r="J33">
            <v>6090811.2671874994</v>
          </cell>
          <cell r="K33">
            <v>3392973.9378125011</v>
          </cell>
          <cell r="L33" t="str">
            <v>DIBAWAH BASELINE</v>
          </cell>
          <cell r="P33">
            <v>0</v>
          </cell>
          <cell r="Q33">
            <v>0</v>
          </cell>
          <cell r="R33">
            <v>0</v>
          </cell>
          <cell r="S33">
            <v>0</v>
          </cell>
          <cell r="T33">
            <v>0</v>
          </cell>
          <cell r="U33">
            <v>0</v>
          </cell>
          <cell r="V33">
            <v>0</v>
          </cell>
          <cell r="W33">
            <v>1</v>
          </cell>
          <cell r="X33">
            <v>1</v>
          </cell>
          <cell r="Y33">
            <v>0</v>
          </cell>
          <cell r="Z33">
            <v>0</v>
          </cell>
          <cell r="AA33">
            <v>0</v>
          </cell>
          <cell r="AB33">
            <v>0</v>
          </cell>
          <cell r="AC33">
            <v>0</v>
          </cell>
          <cell r="AD33">
            <v>1</v>
          </cell>
          <cell r="AE33">
            <v>0</v>
          </cell>
          <cell r="AF33">
            <v>0</v>
          </cell>
          <cell r="AG33">
            <v>1</v>
          </cell>
          <cell r="AH33">
            <v>1</v>
          </cell>
          <cell r="AI33">
            <v>1</v>
          </cell>
          <cell r="AJ33">
            <v>1</v>
          </cell>
          <cell r="AK33">
            <v>0</v>
          </cell>
          <cell r="AL33">
            <v>1</v>
          </cell>
          <cell r="AM33">
            <v>1</v>
          </cell>
          <cell r="AN33">
            <v>0</v>
          </cell>
          <cell r="AO33">
            <v>0</v>
          </cell>
          <cell r="AP33">
            <v>1</v>
          </cell>
          <cell r="AQ33">
            <v>1</v>
          </cell>
          <cell r="AR33">
            <v>0</v>
          </cell>
          <cell r="AS33">
            <v>1</v>
          </cell>
          <cell r="AT33">
            <v>0</v>
          </cell>
          <cell r="AU33">
            <v>0</v>
          </cell>
          <cell r="AV33">
            <v>0</v>
          </cell>
          <cell r="AW33">
            <v>0</v>
          </cell>
          <cell r="AX33">
            <v>0</v>
          </cell>
          <cell r="AY33">
            <v>12</v>
          </cell>
          <cell r="AZ33">
            <v>23</v>
          </cell>
          <cell r="BA33">
            <v>9</v>
          </cell>
          <cell r="BB33">
            <v>26</v>
          </cell>
          <cell r="BC33"/>
          <cell r="BE33"/>
          <cell r="BF33">
            <v>0</v>
          </cell>
          <cell r="BG33">
            <v>0</v>
          </cell>
          <cell r="BH33">
            <v>0</v>
          </cell>
          <cell r="BI33">
            <v>0</v>
          </cell>
          <cell r="BJ33">
            <v>0</v>
          </cell>
          <cell r="BK33">
            <v>0</v>
          </cell>
          <cell r="BL33">
            <v>0</v>
          </cell>
          <cell r="BM33">
            <v>1</v>
          </cell>
          <cell r="BN33">
            <v>0</v>
          </cell>
          <cell r="BO33">
            <v>0</v>
          </cell>
          <cell r="BP33">
            <v>0</v>
          </cell>
          <cell r="BQ33">
            <v>0</v>
          </cell>
          <cell r="BR33">
            <v>0</v>
          </cell>
          <cell r="BS33">
            <v>0</v>
          </cell>
          <cell r="BT33">
            <v>1</v>
          </cell>
          <cell r="BU33">
            <v>0</v>
          </cell>
          <cell r="BV33">
            <v>0</v>
          </cell>
          <cell r="BW33">
            <v>1</v>
          </cell>
          <cell r="BX33">
            <v>1</v>
          </cell>
          <cell r="BY33">
            <v>1</v>
          </cell>
          <cell r="BZ33">
            <v>0</v>
          </cell>
          <cell r="CA33">
            <v>1</v>
          </cell>
          <cell r="CB33">
            <v>1</v>
          </cell>
          <cell r="CC33">
            <v>0</v>
          </cell>
          <cell r="CD33">
            <v>1</v>
          </cell>
          <cell r="CE33">
            <v>1</v>
          </cell>
          <cell r="CF33">
            <v>0</v>
          </cell>
          <cell r="CG33">
            <v>0</v>
          </cell>
          <cell r="CH33">
            <v>0</v>
          </cell>
          <cell r="CI33">
            <v>0</v>
          </cell>
          <cell r="CJ33">
            <v>0</v>
          </cell>
          <cell r="CK33">
            <v>0</v>
          </cell>
          <cell r="CL33">
            <v>0</v>
          </cell>
          <cell r="CM33">
            <v>0</v>
          </cell>
          <cell r="CN33">
            <v>0</v>
          </cell>
          <cell r="CO33">
            <v>9</v>
          </cell>
          <cell r="CP33">
            <v>26</v>
          </cell>
        </row>
        <row r="34">
          <cell r="E34" t="str">
            <v>MTA00101-10100032</v>
          </cell>
          <cell r="F34" t="str">
            <v>PT.JODOH CENTRE BALOI</v>
          </cell>
          <cell r="G34">
            <v>46302052.00475695</v>
          </cell>
          <cell r="H34">
            <v>44450984.519953698</v>
          </cell>
          <cell r="I34" t="str">
            <v>BASELINE DIBAWAH AVG 2025</v>
          </cell>
          <cell r="J34">
            <v>57288256.934027769</v>
          </cell>
          <cell r="K34">
            <v>17972605.570000011</v>
          </cell>
          <cell r="L34" t="str">
            <v>DIBAWAH BASELINE</v>
          </cell>
          <cell r="P34">
            <v>1</v>
          </cell>
          <cell r="Q34">
            <v>1</v>
          </cell>
          <cell r="R34">
            <v>1</v>
          </cell>
          <cell r="S34">
            <v>1</v>
          </cell>
          <cell r="T34">
            <v>1</v>
          </cell>
          <cell r="U34">
            <v>1</v>
          </cell>
          <cell r="V34">
            <v>1</v>
          </cell>
          <cell r="W34">
            <v>1</v>
          </cell>
          <cell r="X34">
            <v>1</v>
          </cell>
          <cell r="Y34">
            <v>1</v>
          </cell>
          <cell r="Z34">
            <v>1</v>
          </cell>
          <cell r="AA34">
            <v>1</v>
          </cell>
          <cell r="AB34">
            <v>1</v>
          </cell>
          <cell r="AC34">
            <v>1</v>
          </cell>
          <cell r="AD34">
            <v>1</v>
          </cell>
          <cell r="AE34">
            <v>1</v>
          </cell>
          <cell r="AF34">
            <v>1</v>
          </cell>
          <cell r="AG34">
            <v>1</v>
          </cell>
          <cell r="AH34">
            <v>1</v>
          </cell>
          <cell r="AI34">
            <v>1</v>
          </cell>
          <cell r="AJ34">
            <v>1</v>
          </cell>
          <cell r="AK34">
            <v>1</v>
          </cell>
          <cell r="AL34">
            <v>1</v>
          </cell>
          <cell r="AM34">
            <v>1</v>
          </cell>
          <cell r="AN34">
            <v>1</v>
          </cell>
          <cell r="AO34">
            <v>1</v>
          </cell>
          <cell r="AP34">
            <v>0</v>
          </cell>
          <cell r="AQ34">
            <v>1</v>
          </cell>
          <cell r="AR34">
            <v>1</v>
          </cell>
          <cell r="AS34">
            <v>1</v>
          </cell>
          <cell r="AT34">
            <v>1</v>
          </cell>
          <cell r="AU34">
            <v>1</v>
          </cell>
          <cell r="AV34">
            <v>0</v>
          </cell>
          <cell r="AW34">
            <v>0</v>
          </cell>
          <cell r="AX34">
            <v>0</v>
          </cell>
          <cell r="AY34">
            <v>31</v>
          </cell>
          <cell r="AZ34">
            <v>4</v>
          </cell>
          <cell r="BA34">
            <v>21</v>
          </cell>
          <cell r="BB34">
            <v>14</v>
          </cell>
          <cell r="BC34"/>
          <cell r="BE34"/>
          <cell r="BF34">
            <v>0</v>
          </cell>
          <cell r="BG34">
            <v>1</v>
          </cell>
          <cell r="BH34">
            <v>0</v>
          </cell>
          <cell r="BI34">
            <v>0</v>
          </cell>
          <cell r="BJ34">
            <v>1</v>
          </cell>
          <cell r="BK34">
            <v>0</v>
          </cell>
          <cell r="BL34">
            <v>0</v>
          </cell>
          <cell r="BM34">
            <v>1</v>
          </cell>
          <cell r="BN34">
            <v>0</v>
          </cell>
          <cell r="BO34">
            <v>0</v>
          </cell>
          <cell r="BP34">
            <v>0</v>
          </cell>
          <cell r="BQ34">
            <v>1</v>
          </cell>
          <cell r="BR34">
            <v>0</v>
          </cell>
          <cell r="BS34">
            <v>1</v>
          </cell>
          <cell r="BT34">
            <v>1</v>
          </cell>
          <cell r="BU34">
            <v>0</v>
          </cell>
          <cell r="BV34">
            <v>0</v>
          </cell>
          <cell r="BW34">
            <v>1</v>
          </cell>
          <cell r="BX34">
            <v>1</v>
          </cell>
          <cell r="BY34">
            <v>1</v>
          </cell>
          <cell r="BZ34">
            <v>0</v>
          </cell>
          <cell r="CA34">
            <v>0</v>
          </cell>
          <cell r="CB34">
            <v>1</v>
          </cell>
          <cell r="CC34">
            <v>0</v>
          </cell>
          <cell r="CD34">
            <v>1</v>
          </cell>
          <cell r="CE34">
            <v>1</v>
          </cell>
          <cell r="CF34">
            <v>0</v>
          </cell>
          <cell r="CG34">
            <v>0</v>
          </cell>
          <cell r="CH34">
            <v>0</v>
          </cell>
          <cell r="CI34">
            <v>0</v>
          </cell>
          <cell r="CJ34">
            <v>0</v>
          </cell>
          <cell r="CK34">
            <v>0</v>
          </cell>
          <cell r="CL34">
            <v>0</v>
          </cell>
          <cell r="CM34">
            <v>0</v>
          </cell>
          <cell r="CN34">
            <v>0</v>
          </cell>
          <cell r="CO34">
            <v>12</v>
          </cell>
          <cell r="CP34">
            <v>23</v>
          </cell>
        </row>
        <row r="35">
          <cell r="E35" t="str">
            <v>MTA00101-10100010</v>
          </cell>
          <cell r="F35" t="str">
            <v>PT.JODOH CENTRE ONE BATAM MALL</v>
          </cell>
          <cell r="G35">
            <v>19038179.411388893</v>
          </cell>
          <cell r="H35">
            <v>19802252.848429788</v>
          </cell>
          <cell r="I35" t="str">
            <v>MAINTAIN</v>
          </cell>
          <cell r="J35">
            <v>21330399.722511578</v>
          </cell>
          <cell r="K35">
            <v>10945946.711458338</v>
          </cell>
          <cell r="L35" t="str">
            <v>DIBAWAH BASELINE</v>
          </cell>
          <cell r="P35">
            <v>1</v>
          </cell>
          <cell r="Q35">
            <v>1</v>
          </cell>
          <cell r="R35">
            <v>1</v>
          </cell>
          <cell r="S35">
            <v>1</v>
          </cell>
          <cell r="T35">
            <v>1</v>
          </cell>
          <cell r="U35">
            <v>0</v>
          </cell>
          <cell r="V35">
            <v>0</v>
          </cell>
          <cell r="W35">
            <v>1</v>
          </cell>
          <cell r="X35">
            <v>1</v>
          </cell>
          <cell r="Y35">
            <v>0</v>
          </cell>
          <cell r="Z35">
            <v>0</v>
          </cell>
          <cell r="AA35">
            <v>1</v>
          </cell>
          <cell r="AB35">
            <v>1</v>
          </cell>
          <cell r="AC35">
            <v>0</v>
          </cell>
          <cell r="AD35">
            <v>1</v>
          </cell>
          <cell r="AE35">
            <v>0</v>
          </cell>
          <cell r="AF35">
            <v>1</v>
          </cell>
          <cell r="AG35">
            <v>1</v>
          </cell>
          <cell r="AH35">
            <v>1</v>
          </cell>
          <cell r="AI35">
            <v>1</v>
          </cell>
          <cell r="AJ35">
            <v>1</v>
          </cell>
          <cell r="AK35">
            <v>0</v>
          </cell>
          <cell r="AL35">
            <v>1</v>
          </cell>
          <cell r="AM35">
            <v>1</v>
          </cell>
          <cell r="AN35">
            <v>0</v>
          </cell>
          <cell r="AO35">
            <v>0</v>
          </cell>
          <cell r="AP35">
            <v>0</v>
          </cell>
          <cell r="AQ35">
            <v>1</v>
          </cell>
          <cell r="AR35">
            <v>1</v>
          </cell>
          <cell r="AS35">
            <v>0</v>
          </cell>
          <cell r="AT35">
            <v>1</v>
          </cell>
          <cell r="AU35">
            <v>0</v>
          </cell>
          <cell r="AV35">
            <v>0</v>
          </cell>
          <cell r="AW35">
            <v>0</v>
          </cell>
          <cell r="AX35">
            <v>0</v>
          </cell>
          <cell r="AY35">
            <v>20</v>
          </cell>
          <cell r="AZ35">
            <v>15</v>
          </cell>
          <cell r="BA35">
            <v>14</v>
          </cell>
          <cell r="BB35">
            <v>21</v>
          </cell>
          <cell r="BC35"/>
          <cell r="BE35"/>
          <cell r="BF35">
            <v>0</v>
          </cell>
          <cell r="BG35">
            <v>0</v>
          </cell>
          <cell r="BH35">
            <v>0</v>
          </cell>
          <cell r="BI35">
            <v>0</v>
          </cell>
          <cell r="BJ35">
            <v>1</v>
          </cell>
          <cell r="BK35">
            <v>0</v>
          </cell>
          <cell r="BL35">
            <v>0</v>
          </cell>
          <cell r="BM35">
            <v>1</v>
          </cell>
          <cell r="BN35">
            <v>1</v>
          </cell>
          <cell r="BO35">
            <v>0</v>
          </cell>
          <cell r="BP35">
            <v>0</v>
          </cell>
          <cell r="BQ35">
            <v>0</v>
          </cell>
          <cell r="BR35">
            <v>0</v>
          </cell>
          <cell r="BS35">
            <v>0</v>
          </cell>
          <cell r="BT35">
            <v>0</v>
          </cell>
          <cell r="BU35">
            <v>0</v>
          </cell>
          <cell r="BV35">
            <v>1</v>
          </cell>
          <cell r="BW35">
            <v>0</v>
          </cell>
          <cell r="BX35">
            <v>1</v>
          </cell>
          <cell r="BY35">
            <v>1</v>
          </cell>
          <cell r="BZ35">
            <v>0</v>
          </cell>
          <cell r="CA35">
            <v>1</v>
          </cell>
          <cell r="CB35">
            <v>1</v>
          </cell>
          <cell r="CC35">
            <v>0</v>
          </cell>
          <cell r="CD35">
            <v>1</v>
          </cell>
          <cell r="CE35">
            <v>1</v>
          </cell>
          <cell r="CF35">
            <v>0</v>
          </cell>
          <cell r="CG35">
            <v>0</v>
          </cell>
          <cell r="CH35">
            <v>0</v>
          </cell>
          <cell r="CI35">
            <v>1</v>
          </cell>
          <cell r="CJ35">
            <v>0</v>
          </cell>
          <cell r="CK35">
            <v>0</v>
          </cell>
          <cell r="CL35">
            <v>0</v>
          </cell>
          <cell r="CM35">
            <v>0</v>
          </cell>
          <cell r="CN35">
            <v>0</v>
          </cell>
          <cell r="CO35">
            <v>11</v>
          </cell>
          <cell r="CP35">
            <v>24</v>
          </cell>
        </row>
        <row r="36">
          <cell r="E36" t="str">
            <v>MTA00101-10100006</v>
          </cell>
          <cell r="F36" t="str">
            <v>SPM.LOVE MARKET</v>
          </cell>
          <cell r="G36">
            <v>19030476.48564237</v>
          </cell>
          <cell r="H36">
            <v>17921362.761840284</v>
          </cell>
          <cell r="I36" t="str">
            <v>BASELINE DIBAWAH AVG 2025</v>
          </cell>
          <cell r="J36">
            <v>19507710.494097233</v>
          </cell>
          <cell r="K36">
            <v>14854594.434375001</v>
          </cell>
          <cell r="L36" t="str">
            <v>DIBAWAH BASELINE</v>
          </cell>
          <cell r="P36">
            <v>0</v>
          </cell>
          <cell r="Q36">
            <v>1</v>
          </cell>
          <cell r="R36">
            <v>1</v>
          </cell>
          <cell r="S36">
            <v>1</v>
          </cell>
          <cell r="T36">
            <v>0</v>
          </cell>
          <cell r="U36">
            <v>1</v>
          </cell>
          <cell r="V36">
            <v>0</v>
          </cell>
          <cell r="W36">
            <v>1</v>
          </cell>
          <cell r="X36">
            <v>1</v>
          </cell>
          <cell r="Y36">
            <v>0</v>
          </cell>
          <cell r="Z36">
            <v>0</v>
          </cell>
          <cell r="AA36">
            <v>1</v>
          </cell>
          <cell r="AB36">
            <v>1</v>
          </cell>
          <cell r="AC36">
            <v>1</v>
          </cell>
          <cell r="AD36">
            <v>1</v>
          </cell>
          <cell r="AE36">
            <v>1</v>
          </cell>
          <cell r="AF36">
            <v>1</v>
          </cell>
          <cell r="AG36">
            <v>1</v>
          </cell>
          <cell r="AH36">
            <v>1</v>
          </cell>
          <cell r="AI36">
            <v>1</v>
          </cell>
          <cell r="AJ36">
            <v>1</v>
          </cell>
          <cell r="AK36">
            <v>1</v>
          </cell>
          <cell r="AL36">
            <v>1</v>
          </cell>
          <cell r="AM36">
            <v>1</v>
          </cell>
          <cell r="AN36">
            <v>1</v>
          </cell>
          <cell r="AO36">
            <v>0</v>
          </cell>
          <cell r="AP36">
            <v>0</v>
          </cell>
          <cell r="AQ36">
            <v>1</v>
          </cell>
          <cell r="AR36">
            <v>0</v>
          </cell>
          <cell r="AS36">
            <v>0</v>
          </cell>
          <cell r="AT36">
            <v>1</v>
          </cell>
          <cell r="AU36">
            <v>0</v>
          </cell>
          <cell r="AV36">
            <v>0</v>
          </cell>
          <cell r="AW36">
            <v>0</v>
          </cell>
          <cell r="AX36">
            <v>0</v>
          </cell>
          <cell r="AY36">
            <v>22</v>
          </cell>
          <cell r="AZ36">
            <v>13</v>
          </cell>
          <cell r="BA36">
            <v>15</v>
          </cell>
          <cell r="BB36">
            <v>20</v>
          </cell>
          <cell r="BC36"/>
          <cell r="BE36"/>
          <cell r="BF36">
            <v>0</v>
          </cell>
          <cell r="BG36">
            <v>1</v>
          </cell>
          <cell r="BH36">
            <v>0</v>
          </cell>
          <cell r="BI36">
            <v>0</v>
          </cell>
          <cell r="BJ36">
            <v>0</v>
          </cell>
          <cell r="BK36">
            <v>0</v>
          </cell>
          <cell r="BL36">
            <v>0</v>
          </cell>
          <cell r="BM36">
            <v>1</v>
          </cell>
          <cell r="BN36">
            <v>1</v>
          </cell>
          <cell r="BO36">
            <v>0</v>
          </cell>
          <cell r="BP36">
            <v>0</v>
          </cell>
          <cell r="BQ36">
            <v>1</v>
          </cell>
          <cell r="BR36">
            <v>0</v>
          </cell>
          <cell r="BS36">
            <v>0</v>
          </cell>
          <cell r="BT36">
            <v>0</v>
          </cell>
          <cell r="BU36">
            <v>0</v>
          </cell>
          <cell r="BV36">
            <v>0</v>
          </cell>
          <cell r="BW36">
            <v>1</v>
          </cell>
          <cell r="BX36">
            <v>1</v>
          </cell>
          <cell r="BY36">
            <v>1</v>
          </cell>
          <cell r="BZ36">
            <v>0</v>
          </cell>
          <cell r="CA36">
            <v>0</v>
          </cell>
          <cell r="CB36">
            <v>1</v>
          </cell>
          <cell r="CC36">
            <v>1</v>
          </cell>
          <cell r="CD36">
            <v>1</v>
          </cell>
          <cell r="CE36">
            <v>1</v>
          </cell>
          <cell r="CF36">
            <v>0</v>
          </cell>
          <cell r="CG36">
            <v>0</v>
          </cell>
          <cell r="CH36">
            <v>0</v>
          </cell>
          <cell r="CI36">
            <v>0</v>
          </cell>
          <cell r="CJ36">
            <v>0</v>
          </cell>
          <cell r="CK36">
            <v>0</v>
          </cell>
          <cell r="CL36">
            <v>0</v>
          </cell>
          <cell r="CM36">
            <v>1</v>
          </cell>
          <cell r="CN36">
            <v>0</v>
          </cell>
          <cell r="CO36">
            <v>12</v>
          </cell>
          <cell r="CP36">
            <v>23</v>
          </cell>
        </row>
        <row r="37">
          <cell r="E37" t="str">
            <v>MTA00101-10100044</v>
          </cell>
          <cell r="F37" t="str">
            <v>MM.BPS NAGOYA</v>
          </cell>
          <cell r="G37">
            <v>20174530.255329862</v>
          </cell>
          <cell r="H37">
            <v>20811396.956003089</v>
          </cell>
          <cell r="I37" t="str">
            <v>MAINTAIN</v>
          </cell>
          <cell r="J37">
            <v>22656314.576041665</v>
          </cell>
          <cell r="K37">
            <v>8632698.3400000036</v>
          </cell>
          <cell r="L37" t="str">
            <v>DIBAWAH BASELINE</v>
          </cell>
          <cell r="P37">
            <v>0</v>
          </cell>
          <cell r="Q37">
            <v>1</v>
          </cell>
          <cell r="R37">
            <v>0</v>
          </cell>
          <cell r="S37">
            <v>1</v>
          </cell>
          <cell r="T37">
            <v>0</v>
          </cell>
          <cell r="U37">
            <v>0</v>
          </cell>
          <cell r="V37">
            <v>0</v>
          </cell>
          <cell r="W37">
            <v>1</v>
          </cell>
          <cell r="X37">
            <v>1</v>
          </cell>
          <cell r="Y37">
            <v>0</v>
          </cell>
          <cell r="Z37">
            <v>0</v>
          </cell>
          <cell r="AA37">
            <v>1</v>
          </cell>
          <cell r="AB37">
            <v>1</v>
          </cell>
          <cell r="AC37">
            <v>0</v>
          </cell>
          <cell r="AD37">
            <v>1</v>
          </cell>
          <cell r="AE37">
            <v>0</v>
          </cell>
          <cell r="AF37">
            <v>1</v>
          </cell>
          <cell r="AG37">
            <v>1</v>
          </cell>
          <cell r="AH37">
            <v>1</v>
          </cell>
          <cell r="AI37">
            <v>1</v>
          </cell>
          <cell r="AJ37">
            <v>1</v>
          </cell>
          <cell r="AK37">
            <v>1</v>
          </cell>
          <cell r="AL37">
            <v>1</v>
          </cell>
          <cell r="AM37">
            <v>1</v>
          </cell>
          <cell r="AN37">
            <v>0</v>
          </cell>
          <cell r="AO37">
            <v>0</v>
          </cell>
          <cell r="AP37">
            <v>0</v>
          </cell>
          <cell r="AQ37">
            <v>1</v>
          </cell>
          <cell r="AR37">
            <v>1</v>
          </cell>
          <cell r="AS37">
            <v>1</v>
          </cell>
          <cell r="AT37">
            <v>1</v>
          </cell>
          <cell r="AU37">
            <v>0</v>
          </cell>
          <cell r="AV37">
            <v>0</v>
          </cell>
          <cell r="AW37">
            <v>0</v>
          </cell>
          <cell r="AX37">
            <v>0</v>
          </cell>
          <cell r="AY37">
            <v>19</v>
          </cell>
          <cell r="AZ37">
            <v>16</v>
          </cell>
          <cell r="BA37">
            <v>10</v>
          </cell>
          <cell r="BB37">
            <v>25</v>
          </cell>
          <cell r="BC37"/>
          <cell r="BE37"/>
          <cell r="BF37">
            <v>0</v>
          </cell>
          <cell r="BG37">
            <v>0</v>
          </cell>
          <cell r="BH37">
            <v>1</v>
          </cell>
          <cell r="BI37">
            <v>0</v>
          </cell>
          <cell r="BJ37">
            <v>0</v>
          </cell>
          <cell r="BK37">
            <v>0</v>
          </cell>
          <cell r="BL37">
            <v>0</v>
          </cell>
          <cell r="BM37">
            <v>0</v>
          </cell>
          <cell r="BN37">
            <v>0</v>
          </cell>
          <cell r="BO37">
            <v>0</v>
          </cell>
          <cell r="BP37">
            <v>0</v>
          </cell>
          <cell r="BQ37">
            <v>0</v>
          </cell>
          <cell r="BR37">
            <v>0</v>
          </cell>
          <cell r="BS37">
            <v>0</v>
          </cell>
          <cell r="BT37">
            <v>0</v>
          </cell>
          <cell r="BU37">
            <v>0</v>
          </cell>
          <cell r="BV37">
            <v>1</v>
          </cell>
          <cell r="BW37">
            <v>0</v>
          </cell>
          <cell r="BX37">
            <v>1</v>
          </cell>
          <cell r="BY37">
            <v>0</v>
          </cell>
          <cell r="BZ37">
            <v>0</v>
          </cell>
          <cell r="CA37">
            <v>1</v>
          </cell>
          <cell r="CB37">
            <v>1</v>
          </cell>
          <cell r="CC37">
            <v>0</v>
          </cell>
          <cell r="CD37">
            <v>1</v>
          </cell>
          <cell r="CE37">
            <v>1</v>
          </cell>
          <cell r="CF37">
            <v>0</v>
          </cell>
          <cell r="CG37">
            <v>0</v>
          </cell>
          <cell r="CH37">
            <v>0</v>
          </cell>
          <cell r="CI37">
            <v>0</v>
          </cell>
          <cell r="CJ37">
            <v>0</v>
          </cell>
          <cell r="CK37">
            <v>0</v>
          </cell>
          <cell r="CL37">
            <v>0</v>
          </cell>
          <cell r="CM37">
            <v>0</v>
          </cell>
          <cell r="CN37">
            <v>0</v>
          </cell>
          <cell r="CO37">
            <v>7</v>
          </cell>
          <cell r="CP37">
            <v>28</v>
          </cell>
        </row>
        <row r="38">
          <cell r="E38" t="str">
            <v>MTA00101-10100052</v>
          </cell>
          <cell r="F38" t="str">
            <v>MM.BPS BALOI BLOK 2</v>
          </cell>
          <cell r="G38">
            <v>1720187.4828645838</v>
          </cell>
          <cell r="H38">
            <v>1470024.8421643523</v>
          </cell>
          <cell r="I38" t="str">
            <v>BASELINE DIBAWAH AVG 2025</v>
          </cell>
          <cell r="J38">
            <v>1845059.9988541671</v>
          </cell>
          <cell r="K38">
            <v>0</v>
          </cell>
          <cell r="L38" t="str">
            <v>BELUM TRANSAKSI</v>
          </cell>
          <cell r="P38">
            <v>0</v>
          </cell>
          <cell r="Q38">
            <v>0</v>
          </cell>
          <cell r="R38">
            <v>0</v>
          </cell>
          <cell r="S38">
            <v>0</v>
          </cell>
          <cell r="T38">
            <v>0</v>
          </cell>
          <cell r="U38">
            <v>0</v>
          </cell>
          <cell r="V38">
            <v>0</v>
          </cell>
          <cell r="W38">
            <v>1</v>
          </cell>
          <cell r="X38">
            <v>0</v>
          </cell>
          <cell r="Y38">
            <v>0</v>
          </cell>
          <cell r="Z38">
            <v>0</v>
          </cell>
          <cell r="AA38">
            <v>0</v>
          </cell>
          <cell r="AB38">
            <v>0</v>
          </cell>
          <cell r="AC38">
            <v>0</v>
          </cell>
          <cell r="AD38">
            <v>1</v>
          </cell>
          <cell r="AE38">
            <v>0</v>
          </cell>
          <cell r="AF38">
            <v>0</v>
          </cell>
          <cell r="AG38">
            <v>1</v>
          </cell>
          <cell r="AH38">
            <v>1</v>
          </cell>
          <cell r="AI38">
            <v>1</v>
          </cell>
          <cell r="AJ38">
            <v>1</v>
          </cell>
          <cell r="AK38">
            <v>0</v>
          </cell>
          <cell r="AL38">
            <v>1</v>
          </cell>
          <cell r="AM38">
            <v>1</v>
          </cell>
          <cell r="AN38">
            <v>0</v>
          </cell>
          <cell r="AO38">
            <v>0</v>
          </cell>
          <cell r="AP38">
            <v>0</v>
          </cell>
          <cell r="AQ38">
            <v>1</v>
          </cell>
          <cell r="AR38">
            <v>0</v>
          </cell>
          <cell r="AS38">
            <v>0</v>
          </cell>
          <cell r="AT38">
            <v>1</v>
          </cell>
          <cell r="AU38">
            <v>0</v>
          </cell>
          <cell r="AV38">
            <v>0</v>
          </cell>
          <cell r="AW38">
            <v>0</v>
          </cell>
          <cell r="AX38">
            <v>0</v>
          </cell>
          <cell r="AY38">
            <v>10</v>
          </cell>
          <cell r="AZ38">
            <v>25</v>
          </cell>
          <cell r="BA38">
            <v>4</v>
          </cell>
          <cell r="BB38">
            <v>31</v>
          </cell>
          <cell r="BC38"/>
          <cell r="BE38"/>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35</v>
          </cell>
        </row>
        <row r="39">
          <cell r="E39" t="str">
            <v>MTA00101-10100004</v>
          </cell>
          <cell r="F39" t="str">
            <v>MM.GLOBAL STAR LEGENDA</v>
          </cell>
          <cell r="G39">
            <v>16723113.662239583</v>
          </cell>
          <cell r="H39">
            <v>14235125.573726853</v>
          </cell>
          <cell r="I39" t="str">
            <v>BASELINE DIBAWAH AVG 2025</v>
          </cell>
          <cell r="J39">
            <v>20213363.195937499</v>
          </cell>
          <cell r="K39">
            <v>29409191.503125001</v>
          </cell>
          <cell r="L39" t="str">
            <v>OK</v>
          </cell>
          <cell r="P39">
            <v>0</v>
          </cell>
          <cell r="Q39">
            <v>0</v>
          </cell>
          <cell r="R39">
            <v>0</v>
          </cell>
          <cell r="S39">
            <v>0</v>
          </cell>
          <cell r="T39">
            <v>0</v>
          </cell>
          <cell r="U39">
            <v>0</v>
          </cell>
          <cell r="V39">
            <v>0</v>
          </cell>
          <cell r="W39">
            <v>1</v>
          </cell>
          <cell r="X39">
            <v>1</v>
          </cell>
          <cell r="Y39">
            <v>0</v>
          </cell>
          <cell r="Z39">
            <v>0</v>
          </cell>
          <cell r="AA39">
            <v>0</v>
          </cell>
          <cell r="AB39">
            <v>0</v>
          </cell>
          <cell r="AC39">
            <v>0</v>
          </cell>
          <cell r="AD39">
            <v>1</v>
          </cell>
          <cell r="AE39">
            <v>0</v>
          </cell>
          <cell r="AF39">
            <v>1</v>
          </cell>
          <cell r="AG39">
            <v>1</v>
          </cell>
          <cell r="AH39">
            <v>1</v>
          </cell>
          <cell r="AI39">
            <v>1</v>
          </cell>
          <cell r="AJ39">
            <v>1</v>
          </cell>
          <cell r="AK39">
            <v>1</v>
          </cell>
          <cell r="AL39">
            <v>1</v>
          </cell>
          <cell r="AM39">
            <v>1</v>
          </cell>
          <cell r="AN39">
            <v>0</v>
          </cell>
          <cell r="AO39">
            <v>0</v>
          </cell>
          <cell r="AP39">
            <v>0</v>
          </cell>
          <cell r="AQ39">
            <v>1</v>
          </cell>
          <cell r="AR39">
            <v>0</v>
          </cell>
          <cell r="AS39">
            <v>1</v>
          </cell>
          <cell r="AT39">
            <v>0</v>
          </cell>
          <cell r="AU39">
            <v>0</v>
          </cell>
          <cell r="AV39">
            <v>0</v>
          </cell>
          <cell r="AW39">
            <v>0</v>
          </cell>
          <cell r="AX39">
            <v>0</v>
          </cell>
          <cell r="AY39">
            <v>13</v>
          </cell>
          <cell r="AZ39">
            <v>22</v>
          </cell>
          <cell r="BA39">
            <v>12</v>
          </cell>
          <cell r="BB39">
            <v>23</v>
          </cell>
          <cell r="BC39"/>
          <cell r="BE39"/>
          <cell r="BF39">
            <v>0</v>
          </cell>
          <cell r="BG39">
            <v>0</v>
          </cell>
          <cell r="BH39">
            <v>0</v>
          </cell>
          <cell r="BI39">
            <v>0</v>
          </cell>
          <cell r="BJ39">
            <v>0</v>
          </cell>
          <cell r="BK39">
            <v>0</v>
          </cell>
          <cell r="BL39">
            <v>0</v>
          </cell>
          <cell r="BM39">
            <v>1</v>
          </cell>
          <cell r="BN39">
            <v>1</v>
          </cell>
          <cell r="BO39">
            <v>0</v>
          </cell>
          <cell r="BP39">
            <v>0</v>
          </cell>
          <cell r="BQ39">
            <v>0</v>
          </cell>
          <cell r="BR39">
            <v>0</v>
          </cell>
          <cell r="BS39">
            <v>0</v>
          </cell>
          <cell r="BT39">
            <v>0</v>
          </cell>
          <cell r="BU39">
            <v>0</v>
          </cell>
          <cell r="BV39">
            <v>1</v>
          </cell>
          <cell r="BW39">
            <v>1</v>
          </cell>
          <cell r="BX39">
            <v>0</v>
          </cell>
          <cell r="BY39">
            <v>1</v>
          </cell>
          <cell r="BZ39">
            <v>0</v>
          </cell>
          <cell r="CA39">
            <v>1</v>
          </cell>
          <cell r="CB39">
            <v>1</v>
          </cell>
          <cell r="CC39">
            <v>1</v>
          </cell>
          <cell r="CD39">
            <v>1</v>
          </cell>
          <cell r="CE39">
            <v>0</v>
          </cell>
          <cell r="CF39">
            <v>0</v>
          </cell>
          <cell r="CG39">
            <v>0</v>
          </cell>
          <cell r="CH39">
            <v>0</v>
          </cell>
          <cell r="CI39">
            <v>0</v>
          </cell>
          <cell r="CJ39">
            <v>0</v>
          </cell>
          <cell r="CK39">
            <v>0</v>
          </cell>
          <cell r="CL39">
            <v>0</v>
          </cell>
          <cell r="CM39">
            <v>0</v>
          </cell>
          <cell r="CN39">
            <v>0</v>
          </cell>
          <cell r="CO39">
            <v>9</v>
          </cell>
          <cell r="CP39">
            <v>26</v>
          </cell>
        </row>
        <row r="40">
          <cell r="E40" t="str">
            <v>MTA00101-10100035</v>
          </cell>
          <cell r="F40" t="str">
            <v>TOKO BPS</v>
          </cell>
          <cell r="G40">
            <v>14806571.045937499</v>
          </cell>
          <cell r="H40">
            <v>14567758.94613426</v>
          </cell>
          <cell r="I40" t="str">
            <v>BASELINE DIBAWAH AVG 2025</v>
          </cell>
          <cell r="J40">
            <v>15501467.09760417</v>
          </cell>
          <cell r="K40">
            <v>1800539.2293749999</v>
          </cell>
          <cell r="L40" t="str">
            <v>DIBAWAH BASELINE</v>
          </cell>
          <cell r="P40">
            <v>0</v>
          </cell>
          <cell r="Q40">
            <v>1</v>
          </cell>
          <cell r="R40">
            <v>1</v>
          </cell>
          <cell r="S40">
            <v>0</v>
          </cell>
          <cell r="T40">
            <v>1</v>
          </cell>
          <cell r="U40">
            <v>0</v>
          </cell>
          <cell r="V40">
            <v>0</v>
          </cell>
          <cell r="W40">
            <v>1</v>
          </cell>
          <cell r="X40">
            <v>1</v>
          </cell>
          <cell r="Y40">
            <v>0</v>
          </cell>
          <cell r="Z40">
            <v>0</v>
          </cell>
          <cell r="AA40">
            <v>1</v>
          </cell>
          <cell r="AB40">
            <v>0</v>
          </cell>
          <cell r="AC40">
            <v>0</v>
          </cell>
          <cell r="AD40">
            <v>1</v>
          </cell>
          <cell r="AE40">
            <v>0</v>
          </cell>
          <cell r="AF40">
            <v>1</v>
          </cell>
          <cell r="AG40">
            <v>1</v>
          </cell>
          <cell r="AH40">
            <v>1</v>
          </cell>
          <cell r="AI40">
            <v>1</v>
          </cell>
          <cell r="AJ40">
            <v>1</v>
          </cell>
          <cell r="AK40">
            <v>0</v>
          </cell>
          <cell r="AL40">
            <v>1</v>
          </cell>
          <cell r="AM40">
            <v>1</v>
          </cell>
          <cell r="AN40">
            <v>0</v>
          </cell>
          <cell r="AO40">
            <v>0</v>
          </cell>
          <cell r="AP40">
            <v>0</v>
          </cell>
          <cell r="AQ40">
            <v>1</v>
          </cell>
          <cell r="AR40">
            <v>1</v>
          </cell>
          <cell r="AS40">
            <v>1</v>
          </cell>
          <cell r="AT40">
            <v>1</v>
          </cell>
          <cell r="AU40">
            <v>0</v>
          </cell>
          <cell r="AV40">
            <v>0</v>
          </cell>
          <cell r="AW40">
            <v>0</v>
          </cell>
          <cell r="AX40">
            <v>0</v>
          </cell>
          <cell r="AY40">
            <v>18</v>
          </cell>
          <cell r="AZ40">
            <v>17</v>
          </cell>
          <cell r="BA40">
            <v>11</v>
          </cell>
          <cell r="BB40">
            <v>24</v>
          </cell>
          <cell r="BC40"/>
          <cell r="BE40"/>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1</v>
          </cell>
          <cell r="CE40">
            <v>1</v>
          </cell>
          <cell r="CF40">
            <v>0</v>
          </cell>
          <cell r="CG40">
            <v>0</v>
          </cell>
          <cell r="CH40">
            <v>0</v>
          </cell>
          <cell r="CI40">
            <v>0</v>
          </cell>
          <cell r="CJ40">
            <v>0</v>
          </cell>
          <cell r="CK40">
            <v>0</v>
          </cell>
          <cell r="CL40">
            <v>0</v>
          </cell>
          <cell r="CM40">
            <v>0</v>
          </cell>
          <cell r="CN40">
            <v>0</v>
          </cell>
          <cell r="CO40">
            <v>2</v>
          </cell>
          <cell r="CP40">
            <v>33</v>
          </cell>
        </row>
        <row r="41">
          <cell r="E41" t="str">
            <v>MTA00101-10100039</v>
          </cell>
          <cell r="F41" t="str">
            <v>MM.GALAXY STAR</v>
          </cell>
          <cell r="G41">
            <v>17607735.916597228</v>
          </cell>
          <cell r="H41">
            <v>17232333.931087967</v>
          </cell>
          <cell r="I41" t="str">
            <v>BASELINE DIBAWAH AVG 2025</v>
          </cell>
          <cell r="J41">
            <v>19144125.135173615</v>
          </cell>
          <cell r="K41">
            <v>21798925.417499997</v>
          </cell>
          <cell r="L41" t="str">
            <v>OK</v>
          </cell>
          <cell r="P41">
            <v>0</v>
          </cell>
          <cell r="Q41">
            <v>1</v>
          </cell>
          <cell r="R41">
            <v>1</v>
          </cell>
          <cell r="S41">
            <v>1</v>
          </cell>
          <cell r="T41">
            <v>0</v>
          </cell>
          <cell r="U41">
            <v>0</v>
          </cell>
          <cell r="V41">
            <v>0</v>
          </cell>
          <cell r="W41">
            <v>1</v>
          </cell>
          <cell r="X41">
            <v>1</v>
          </cell>
          <cell r="Y41">
            <v>0</v>
          </cell>
          <cell r="Z41">
            <v>0</v>
          </cell>
          <cell r="AA41">
            <v>1</v>
          </cell>
          <cell r="AB41">
            <v>1</v>
          </cell>
          <cell r="AC41">
            <v>0</v>
          </cell>
          <cell r="AD41">
            <v>1</v>
          </cell>
          <cell r="AE41">
            <v>0</v>
          </cell>
          <cell r="AF41">
            <v>1</v>
          </cell>
          <cell r="AG41">
            <v>1</v>
          </cell>
          <cell r="AH41">
            <v>1</v>
          </cell>
          <cell r="AI41">
            <v>1</v>
          </cell>
          <cell r="AJ41">
            <v>1</v>
          </cell>
          <cell r="AK41">
            <v>0</v>
          </cell>
          <cell r="AL41">
            <v>1</v>
          </cell>
          <cell r="AM41">
            <v>1</v>
          </cell>
          <cell r="AN41">
            <v>1</v>
          </cell>
          <cell r="AO41">
            <v>0</v>
          </cell>
          <cell r="AP41">
            <v>0</v>
          </cell>
          <cell r="AQ41">
            <v>1</v>
          </cell>
          <cell r="AR41">
            <v>1</v>
          </cell>
          <cell r="AS41">
            <v>1</v>
          </cell>
          <cell r="AT41">
            <v>1</v>
          </cell>
          <cell r="AU41">
            <v>0</v>
          </cell>
          <cell r="AV41">
            <v>0</v>
          </cell>
          <cell r="AW41">
            <v>0</v>
          </cell>
          <cell r="AX41">
            <v>0</v>
          </cell>
          <cell r="AY41">
            <v>20</v>
          </cell>
          <cell r="AZ41">
            <v>15</v>
          </cell>
          <cell r="BA41">
            <v>11</v>
          </cell>
          <cell r="BB41">
            <v>24</v>
          </cell>
          <cell r="BC41"/>
          <cell r="BE41"/>
          <cell r="BF41">
            <v>0</v>
          </cell>
          <cell r="BG41">
            <v>0</v>
          </cell>
          <cell r="BH41">
            <v>0</v>
          </cell>
          <cell r="BI41">
            <v>0</v>
          </cell>
          <cell r="BJ41">
            <v>0</v>
          </cell>
          <cell r="BK41">
            <v>0</v>
          </cell>
          <cell r="BL41">
            <v>0</v>
          </cell>
          <cell r="BM41">
            <v>0</v>
          </cell>
          <cell r="BN41">
            <v>1</v>
          </cell>
          <cell r="BO41">
            <v>0</v>
          </cell>
          <cell r="BP41">
            <v>0</v>
          </cell>
          <cell r="BQ41">
            <v>0</v>
          </cell>
          <cell r="BR41">
            <v>0</v>
          </cell>
          <cell r="BS41">
            <v>0</v>
          </cell>
          <cell r="BT41">
            <v>1</v>
          </cell>
          <cell r="BU41">
            <v>0</v>
          </cell>
          <cell r="BV41">
            <v>1</v>
          </cell>
          <cell r="BW41">
            <v>0</v>
          </cell>
          <cell r="BX41">
            <v>0</v>
          </cell>
          <cell r="BY41">
            <v>1</v>
          </cell>
          <cell r="BZ41">
            <v>0</v>
          </cell>
          <cell r="CA41">
            <v>1</v>
          </cell>
          <cell r="CB41">
            <v>1</v>
          </cell>
          <cell r="CC41">
            <v>0</v>
          </cell>
          <cell r="CD41">
            <v>0</v>
          </cell>
          <cell r="CE41">
            <v>0</v>
          </cell>
          <cell r="CF41">
            <v>0</v>
          </cell>
          <cell r="CG41">
            <v>0</v>
          </cell>
          <cell r="CH41">
            <v>0</v>
          </cell>
          <cell r="CI41">
            <v>0</v>
          </cell>
          <cell r="CJ41">
            <v>0</v>
          </cell>
          <cell r="CK41">
            <v>0</v>
          </cell>
          <cell r="CL41">
            <v>0</v>
          </cell>
          <cell r="CM41">
            <v>0</v>
          </cell>
          <cell r="CN41">
            <v>0</v>
          </cell>
          <cell r="CO41">
            <v>6</v>
          </cell>
          <cell r="CP41">
            <v>29</v>
          </cell>
        </row>
        <row r="42">
          <cell r="E42" t="str">
            <v>MTA00101-10100023</v>
          </cell>
          <cell r="F42" t="str">
            <v>SPM.PRIMART TIBAN</v>
          </cell>
          <cell r="G42">
            <v>6107319.2671701396</v>
          </cell>
          <cell r="H42">
            <v>6328332.8466126546</v>
          </cell>
          <cell r="I42" t="str">
            <v>MAINTAIN</v>
          </cell>
          <cell r="J42">
            <v>6770360.0054976866</v>
          </cell>
          <cell r="K42">
            <v>574324.36749999993</v>
          </cell>
          <cell r="L42" t="str">
            <v>DIBAWAH BASELINE</v>
          </cell>
          <cell r="P42">
            <v>0</v>
          </cell>
          <cell r="Q42">
            <v>1</v>
          </cell>
          <cell r="R42">
            <v>0</v>
          </cell>
          <cell r="S42">
            <v>1</v>
          </cell>
          <cell r="T42">
            <v>1</v>
          </cell>
          <cell r="U42">
            <v>0</v>
          </cell>
          <cell r="V42">
            <v>1</v>
          </cell>
          <cell r="W42">
            <v>1</v>
          </cell>
          <cell r="X42">
            <v>1</v>
          </cell>
          <cell r="Y42">
            <v>1</v>
          </cell>
          <cell r="Z42">
            <v>1</v>
          </cell>
          <cell r="AA42">
            <v>1</v>
          </cell>
          <cell r="AB42">
            <v>1</v>
          </cell>
          <cell r="AC42">
            <v>1</v>
          </cell>
          <cell r="AD42">
            <v>1</v>
          </cell>
          <cell r="AE42">
            <v>1</v>
          </cell>
          <cell r="AF42">
            <v>1</v>
          </cell>
          <cell r="AG42">
            <v>1</v>
          </cell>
          <cell r="AH42">
            <v>1</v>
          </cell>
          <cell r="AI42">
            <v>1</v>
          </cell>
          <cell r="AJ42">
            <v>1</v>
          </cell>
          <cell r="AK42">
            <v>1</v>
          </cell>
          <cell r="AL42">
            <v>1</v>
          </cell>
          <cell r="AM42">
            <v>1</v>
          </cell>
          <cell r="AN42">
            <v>1</v>
          </cell>
          <cell r="AO42">
            <v>0</v>
          </cell>
          <cell r="AP42">
            <v>0</v>
          </cell>
          <cell r="AQ42">
            <v>1</v>
          </cell>
          <cell r="AR42">
            <v>1</v>
          </cell>
          <cell r="AS42">
            <v>1</v>
          </cell>
          <cell r="AT42">
            <v>1</v>
          </cell>
          <cell r="AU42">
            <v>0</v>
          </cell>
          <cell r="AV42">
            <v>0</v>
          </cell>
          <cell r="AW42">
            <v>0</v>
          </cell>
          <cell r="AX42">
            <v>0</v>
          </cell>
          <cell r="AY42">
            <v>26</v>
          </cell>
          <cell r="AZ42">
            <v>9</v>
          </cell>
          <cell r="BA42">
            <v>12</v>
          </cell>
          <cell r="BB42">
            <v>23</v>
          </cell>
          <cell r="BC42"/>
          <cell r="BE42"/>
          <cell r="BF42">
            <v>0</v>
          </cell>
          <cell r="BG42">
            <v>1</v>
          </cell>
          <cell r="BH42">
            <v>0</v>
          </cell>
          <cell r="BI42">
            <v>0</v>
          </cell>
          <cell r="BJ42">
            <v>0</v>
          </cell>
          <cell r="BK42">
            <v>0</v>
          </cell>
          <cell r="BL42">
            <v>0</v>
          </cell>
          <cell r="BM42">
            <v>0</v>
          </cell>
          <cell r="BN42">
            <v>1</v>
          </cell>
          <cell r="BO42">
            <v>0</v>
          </cell>
          <cell r="BP42">
            <v>0</v>
          </cell>
          <cell r="BQ42">
            <v>1</v>
          </cell>
          <cell r="BR42">
            <v>0</v>
          </cell>
          <cell r="BS42">
            <v>0</v>
          </cell>
          <cell r="BT42">
            <v>1</v>
          </cell>
          <cell r="BU42">
            <v>0</v>
          </cell>
          <cell r="BV42">
            <v>0</v>
          </cell>
          <cell r="BW42">
            <v>0</v>
          </cell>
          <cell r="BX42">
            <v>0</v>
          </cell>
          <cell r="BY42">
            <v>1</v>
          </cell>
          <cell r="BZ42">
            <v>0</v>
          </cell>
          <cell r="CA42">
            <v>0</v>
          </cell>
          <cell r="CB42">
            <v>0</v>
          </cell>
          <cell r="CC42">
            <v>0</v>
          </cell>
          <cell r="CD42">
            <v>0</v>
          </cell>
          <cell r="CE42">
            <v>1</v>
          </cell>
          <cell r="CF42">
            <v>0</v>
          </cell>
          <cell r="CG42">
            <v>0</v>
          </cell>
          <cell r="CH42">
            <v>0</v>
          </cell>
          <cell r="CI42">
            <v>0</v>
          </cell>
          <cell r="CJ42">
            <v>0</v>
          </cell>
          <cell r="CK42">
            <v>0</v>
          </cell>
          <cell r="CL42">
            <v>0</v>
          </cell>
          <cell r="CM42">
            <v>0</v>
          </cell>
          <cell r="CN42">
            <v>0</v>
          </cell>
          <cell r="CO42">
            <v>6</v>
          </cell>
          <cell r="CP42">
            <v>29</v>
          </cell>
        </row>
        <row r="43">
          <cell r="E43" t="str">
            <v>MTA00101-10100020</v>
          </cell>
          <cell r="F43" t="str">
            <v>SPM.SUMBER HARAPAN</v>
          </cell>
          <cell r="G43">
            <v>8437611.2502604164</v>
          </cell>
          <cell r="H43">
            <v>8488634.9212770052</v>
          </cell>
          <cell r="I43" t="str">
            <v>MAINTAIN</v>
          </cell>
          <cell r="J43">
            <v>9377580.754999999</v>
          </cell>
          <cell r="K43">
            <v>1617837.7650000001</v>
          </cell>
          <cell r="L43" t="str">
            <v>DIBAWAH BASELINE</v>
          </cell>
          <cell r="P43">
            <v>0</v>
          </cell>
          <cell r="Q43">
            <v>1</v>
          </cell>
          <cell r="R43">
            <v>1</v>
          </cell>
          <cell r="S43">
            <v>1</v>
          </cell>
          <cell r="T43">
            <v>1</v>
          </cell>
          <cell r="U43">
            <v>1</v>
          </cell>
          <cell r="V43">
            <v>1</v>
          </cell>
          <cell r="W43">
            <v>1</v>
          </cell>
          <cell r="X43">
            <v>1</v>
          </cell>
          <cell r="Y43">
            <v>1</v>
          </cell>
          <cell r="Z43">
            <v>1</v>
          </cell>
          <cell r="AA43">
            <v>0</v>
          </cell>
          <cell r="AB43">
            <v>0</v>
          </cell>
          <cell r="AC43">
            <v>1</v>
          </cell>
          <cell r="AD43">
            <v>1</v>
          </cell>
          <cell r="AE43">
            <v>0</v>
          </cell>
          <cell r="AF43">
            <v>1</v>
          </cell>
          <cell r="AG43">
            <v>1</v>
          </cell>
          <cell r="AH43">
            <v>1</v>
          </cell>
          <cell r="AI43">
            <v>1</v>
          </cell>
          <cell r="AJ43">
            <v>1</v>
          </cell>
          <cell r="AK43">
            <v>1</v>
          </cell>
          <cell r="AL43">
            <v>1</v>
          </cell>
          <cell r="AM43">
            <v>1</v>
          </cell>
          <cell r="AN43">
            <v>1</v>
          </cell>
          <cell r="AO43">
            <v>0</v>
          </cell>
          <cell r="AP43">
            <v>1</v>
          </cell>
          <cell r="AQ43">
            <v>1</v>
          </cell>
          <cell r="AR43">
            <v>1</v>
          </cell>
          <cell r="AS43">
            <v>1</v>
          </cell>
          <cell r="AT43">
            <v>1</v>
          </cell>
          <cell r="AU43">
            <v>0</v>
          </cell>
          <cell r="AV43">
            <v>0</v>
          </cell>
          <cell r="AW43">
            <v>0</v>
          </cell>
          <cell r="AX43">
            <v>0</v>
          </cell>
          <cell r="AY43">
            <v>26</v>
          </cell>
          <cell r="AZ43">
            <v>9</v>
          </cell>
          <cell r="BA43">
            <v>16</v>
          </cell>
          <cell r="BB43">
            <v>19</v>
          </cell>
          <cell r="BC43"/>
          <cell r="BE43"/>
          <cell r="BF43">
            <v>0</v>
          </cell>
          <cell r="BG43">
            <v>1</v>
          </cell>
          <cell r="BH43">
            <v>0</v>
          </cell>
          <cell r="BI43">
            <v>1</v>
          </cell>
          <cell r="BJ43">
            <v>0</v>
          </cell>
          <cell r="BK43">
            <v>0</v>
          </cell>
          <cell r="BL43">
            <v>0</v>
          </cell>
          <cell r="BM43">
            <v>1</v>
          </cell>
          <cell r="BN43">
            <v>0</v>
          </cell>
          <cell r="BO43">
            <v>0</v>
          </cell>
          <cell r="BP43">
            <v>0</v>
          </cell>
          <cell r="BQ43">
            <v>0</v>
          </cell>
          <cell r="BR43">
            <v>0</v>
          </cell>
          <cell r="BS43">
            <v>0</v>
          </cell>
          <cell r="BT43">
            <v>0</v>
          </cell>
          <cell r="BU43">
            <v>0</v>
          </cell>
          <cell r="BV43">
            <v>0</v>
          </cell>
          <cell r="BW43">
            <v>1</v>
          </cell>
          <cell r="BX43">
            <v>1</v>
          </cell>
          <cell r="BY43">
            <v>0</v>
          </cell>
          <cell r="BZ43">
            <v>0</v>
          </cell>
          <cell r="CA43">
            <v>1</v>
          </cell>
          <cell r="CB43">
            <v>1</v>
          </cell>
          <cell r="CC43">
            <v>0</v>
          </cell>
          <cell r="CD43">
            <v>1</v>
          </cell>
          <cell r="CE43">
            <v>0</v>
          </cell>
          <cell r="CF43">
            <v>0</v>
          </cell>
          <cell r="CG43">
            <v>0</v>
          </cell>
          <cell r="CH43">
            <v>0</v>
          </cell>
          <cell r="CI43">
            <v>1</v>
          </cell>
          <cell r="CJ43">
            <v>0</v>
          </cell>
          <cell r="CK43">
            <v>0</v>
          </cell>
          <cell r="CL43">
            <v>1</v>
          </cell>
          <cell r="CM43">
            <v>1</v>
          </cell>
          <cell r="CN43">
            <v>0</v>
          </cell>
          <cell r="CO43">
            <v>11</v>
          </cell>
          <cell r="CP43">
            <v>24</v>
          </cell>
        </row>
        <row r="44">
          <cell r="E44" t="str">
            <v>MTA00101-10100009</v>
          </cell>
          <cell r="F44" t="str">
            <v>SPM.SUNLY SEI PANAS</v>
          </cell>
          <cell r="G44">
            <v>7417078.7017187513</v>
          </cell>
          <cell r="H44">
            <v>7233254.9342476865</v>
          </cell>
          <cell r="I44" t="str">
            <v>BASELINE DIBAWAH AVG 2025</v>
          </cell>
          <cell r="J44">
            <v>7521018.5581250014</v>
          </cell>
          <cell r="K44">
            <v>0</v>
          </cell>
          <cell r="L44" t="str">
            <v>BELUM TRANSAKSI</v>
          </cell>
          <cell r="P44">
            <v>0</v>
          </cell>
          <cell r="Q44">
            <v>1</v>
          </cell>
          <cell r="R44">
            <v>1</v>
          </cell>
          <cell r="S44">
            <v>0</v>
          </cell>
          <cell r="T44">
            <v>0</v>
          </cell>
          <cell r="U44">
            <v>0</v>
          </cell>
          <cell r="V44">
            <v>0</v>
          </cell>
          <cell r="W44">
            <v>1</v>
          </cell>
          <cell r="X44">
            <v>1</v>
          </cell>
          <cell r="Y44">
            <v>0</v>
          </cell>
          <cell r="Z44">
            <v>0</v>
          </cell>
          <cell r="AA44">
            <v>1</v>
          </cell>
          <cell r="AB44">
            <v>0</v>
          </cell>
          <cell r="AC44">
            <v>0</v>
          </cell>
          <cell r="AD44">
            <v>1</v>
          </cell>
          <cell r="AE44">
            <v>0</v>
          </cell>
          <cell r="AF44">
            <v>0</v>
          </cell>
          <cell r="AG44">
            <v>1</v>
          </cell>
          <cell r="AH44">
            <v>1</v>
          </cell>
          <cell r="AI44">
            <v>1</v>
          </cell>
          <cell r="AJ44">
            <v>1</v>
          </cell>
          <cell r="AK44">
            <v>0</v>
          </cell>
          <cell r="AL44">
            <v>1</v>
          </cell>
          <cell r="AM44">
            <v>1</v>
          </cell>
          <cell r="AN44">
            <v>0</v>
          </cell>
          <cell r="AO44">
            <v>0</v>
          </cell>
          <cell r="AP44">
            <v>0</v>
          </cell>
          <cell r="AQ44">
            <v>1</v>
          </cell>
          <cell r="AR44">
            <v>0</v>
          </cell>
          <cell r="AS44">
            <v>1</v>
          </cell>
          <cell r="AT44">
            <v>0</v>
          </cell>
          <cell r="AU44">
            <v>0</v>
          </cell>
          <cell r="AV44">
            <v>0</v>
          </cell>
          <cell r="AW44">
            <v>0</v>
          </cell>
          <cell r="AX44">
            <v>0</v>
          </cell>
          <cell r="AY44">
            <v>14</v>
          </cell>
          <cell r="AZ44">
            <v>21</v>
          </cell>
          <cell r="BA44">
            <v>6</v>
          </cell>
          <cell r="BB44">
            <v>29</v>
          </cell>
          <cell r="BC44"/>
          <cell r="BE44"/>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35</v>
          </cell>
        </row>
        <row r="45">
          <cell r="E45" t="str">
            <v>MTA00101-10100012</v>
          </cell>
          <cell r="F45" t="str">
            <v>MM.GLOBAL SUN</v>
          </cell>
          <cell r="G45">
            <v>5579406.2757291682</v>
          </cell>
          <cell r="H45">
            <v>4691203.0081828712</v>
          </cell>
          <cell r="I45" t="str">
            <v>BASELINE DIBAWAH AVG 2025</v>
          </cell>
          <cell r="J45">
            <v>5709248.1982812509</v>
          </cell>
          <cell r="K45">
            <v>5101622.5893750014</v>
          </cell>
          <cell r="L45" t="str">
            <v>BELUM CAPAI TARGET</v>
          </cell>
          <cell r="P45">
            <v>0</v>
          </cell>
          <cell r="Q45">
            <v>0</v>
          </cell>
          <cell r="R45">
            <v>0</v>
          </cell>
          <cell r="S45">
            <v>0</v>
          </cell>
          <cell r="T45">
            <v>0</v>
          </cell>
          <cell r="U45">
            <v>0</v>
          </cell>
          <cell r="V45">
            <v>0</v>
          </cell>
          <cell r="W45">
            <v>1</v>
          </cell>
          <cell r="X45">
            <v>1</v>
          </cell>
          <cell r="Y45">
            <v>0</v>
          </cell>
          <cell r="Z45">
            <v>0</v>
          </cell>
          <cell r="AA45">
            <v>0</v>
          </cell>
          <cell r="AB45">
            <v>0</v>
          </cell>
          <cell r="AC45">
            <v>0</v>
          </cell>
          <cell r="AD45">
            <v>1</v>
          </cell>
          <cell r="AE45">
            <v>1</v>
          </cell>
          <cell r="AF45">
            <v>1</v>
          </cell>
          <cell r="AG45">
            <v>1</v>
          </cell>
          <cell r="AH45">
            <v>1</v>
          </cell>
          <cell r="AI45">
            <v>1</v>
          </cell>
          <cell r="AJ45">
            <v>1</v>
          </cell>
          <cell r="AK45">
            <v>0</v>
          </cell>
          <cell r="AL45">
            <v>1</v>
          </cell>
          <cell r="AM45">
            <v>1</v>
          </cell>
          <cell r="AN45">
            <v>1</v>
          </cell>
          <cell r="AO45">
            <v>0</v>
          </cell>
          <cell r="AP45">
            <v>0</v>
          </cell>
          <cell r="AQ45">
            <v>1</v>
          </cell>
          <cell r="AR45">
            <v>0</v>
          </cell>
          <cell r="AS45">
            <v>1</v>
          </cell>
          <cell r="AT45">
            <v>0</v>
          </cell>
          <cell r="AU45">
            <v>0</v>
          </cell>
          <cell r="AV45">
            <v>0</v>
          </cell>
          <cell r="AW45">
            <v>0</v>
          </cell>
          <cell r="AX45">
            <v>0</v>
          </cell>
          <cell r="AY45">
            <v>14</v>
          </cell>
          <cell r="AZ45">
            <v>21</v>
          </cell>
          <cell r="BA45">
            <v>5</v>
          </cell>
          <cell r="BB45">
            <v>30</v>
          </cell>
          <cell r="BC45"/>
          <cell r="BE45"/>
          <cell r="BF45">
            <v>0</v>
          </cell>
          <cell r="BG45">
            <v>0</v>
          </cell>
          <cell r="BH45">
            <v>0</v>
          </cell>
          <cell r="BI45">
            <v>0</v>
          </cell>
          <cell r="BJ45">
            <v>0</v>
          </cell>
          <cell r="BK45">
            <v>0</v>
          </cell>
          <cell r="BL45">
            <v>0</v>
          </cell>
          <cell r="BM45">
            <v>0</v>
          </cell>
          <cell r="BN45">
            <v>1</v>
          </cell>
          <cell r="BO45">
            <v>0</v>
          </cell>
          <cell r="BP45">
            <v>0</v>
          </cell>
          <cell r="BQ45">
            <v>0</v>
          </cell>
          <cell r="BR45">
            <v>0</v>
          </cell>
          <cell r="BS45">
            <v>0</v>
          </cell>
          <cell r="BT45">
            <v>1</v>
          </cell>
          <cell r="BU45">
            <v>0</v>
          </cell>
          <cell r="BV45">
            <v>0</v>
          </cell>
          <cell r="BW45">
            <v>1</v>
          </cell>
          <cell r="BX45">
            <v>0</v>
          </cell>
          <cell r="BY45">
            <v>1</v>
          </cell>
          <cell r="BZ45">
            <v>0</v>
          </cell>
          <cell r="CA45">
            <v>0</v>
          </cell>
          <cell r="CB45">
            <v>1</v>
          </cell>
          <cell r="CC45">
            <v>0</v>
          </cell>
          <cell r="CD45">
            <v>1</v>
          </cell>
          <cell r="CE45">
            <v>0</v>
          </cell>
          <cell r="CF45">
            <v>0</v>
          </cell>
          <cell r="CG45">
            <v>0</v>
          </cell>
          <cell r="CH45">
            <v>0</v>
          </cell>
          <cell r="CI45">
            <v>0</v>
          </cell>
          <cell r="CJ45">
            <v>0</v>
          </cell>
          <cell r="CK45">
            <v>0</v>
          </cell>
          <cell r="CL45">
            <v>0</v>
          </cell>
          <cell r="CM45">
            <v>0</v>
          </cell>
          <cell r="CN45">
            <v>0</v>
          </cell>
          <cell r="CO45">
            <v>6</v>
          </cell>
          <cell r="CP45">
            <v>29</v>
          </cell>
        </row>
        <row r="46">
          <cell r="E46" t="str">
            <v>MTA00101-10100047</v>
          </cell>
          <cell r="F46" t="str">
            <v>PT.TOP SERATUS SEJATI GRAND BATAM MALL</v>
          </cell>
          <cell r="G46">
            <v>58952863.962013878</v>
          </cell>
          <cell r="H46">
            <v>59610453.850833319</v>
          </cell>
          <cell r="I46" t="str">
            <v>MAINTAIN</v>
          </cell>
          <cell r="J46">
            <v>62377940.03486108</v>
          </cell>
          <cell r="K46">
            <v>40964850.528749987</v>
          </cell>
          <cell r="L46" t="str">
            <v>DIBAWAH BASELINE</v>
          </cell>
          <cell r="P46">
            <v>1</v>
          </cell>
          <cell r="Q46">
            <v>1</v>
          </cell>
          <cell r="R46">
            <v>1</v>
          </cell>
          <cell r="S46">
            <v>1</v>
          </cell>
          <cell r="T46">
            <v>1</v>
          </cell>
          <cell r="U46">
            <v>0</v>
          </cell>
          <cell r="V46">
            <v>0</v>
          </cell>
          <cell r="W46">
            <v>0</v>
          </cell>
          <cell r="X46">
            <v>1</v>
          </cell>
          <cell r="Y46">
            <v>0</v>
          </cell>
          <cell r="Z46">
            <v>0</v>
          </cell>
          <cell r="AA46">
            <v>1</v>
          </cell>
          <cell r="AB46">
            <v>0</v>
          </cell>
          <cell r="AC46">
            <v>0</v>
          </cell>
          <cell r="AD46">
            <v>1</v>
          </cell>
          <cell r="AE46">
            <v>1</v>
          </cell>
          <cell r="AF46">
            <v>1</v>
          </cell>
          <cell r="AG46">
            <v>1</v>
          </cell>
          <cell r="AH46">
            <v>1</v>
          </cell>
          <cell r="AI46">
            <v>1</v>
          </cell>
          <cell r="AJ46">
            <v>1</v>
          </cell>
          <cell r="AK46">
            <v>1</v>
          </cell>
          <cell r="AL46">
            <v>1</v>
          </cell>
          <cell r="AM46">
            <v>1</v>
          </cell>
          <cell r="AN46">
            <v>1</v>
          </cell>
          <cell r="AO46">
            <v>0</v>
          </cell>
          <cell r="AP46">
            <v>1</v>
          </cell>
          <cell r="AQ46">
            <v>1</v>
          </cell>
          <cell r="AR46">
            <v>1</v>
          </cell>
          <cell r="AS46">
            <v>1</v>
          </cell>
          <cell r="AT46">
            <v>1</v>
          </cell>
          <cell r="AU46">
            <v>0</v>
          </cell>
          <cell r="AV46">
            <v>0</v>
          </cell>
          <cell r="AW46">
            <v>0</v>
          </cell>
          <cell r="AX46">
            <v>0</v>
          </cell>
          <cell r="AY46">
            <v>23</v>
          </cell>
          <cell r="AZ46">
            <v>12</v>
          </cell>
          <cell r="BA46">
            <v>20</v>
          </cell>
          <cell r="BB46">
            <v>15</v>
          </cell>
          <cell r="BC46"/>
          <cell r="BE46"/>
          <cell r="BF46">
            <v>0</v>
          </cell>
          <cell r="BG46">
            <v>1</v>
          </cell>
          <cell r="BH46">
            <v>0</v>
          </cell>
          <cell r="BI46">
            <v>0</v>
          </cell>
          <cell r="BJ46">
            <v>0</v>
          </cell>
          <cell r="BK46">
            <v>0</v>
          </cell>
          <cell r="BL46">
            <v>0</v>
          </cell>
          <cell r="BM46">
            <v>0</v>
          </cell>
          <cell r="BN46">
            <v>1</v>
          </cell>
          <cell r="BO46">
            <v>0</v>
          </cell>
          <cell r="BP46">
            <v>0</v>
          </cell>
          <cell r="BQ46">
            <v>0</v>
          </cell>
          <cell r="BR46">
            <v>0</v>
          </cell>
          <cell r="BS46">
            <v>0</v>
          </cell>
          <cell r="BT46">
            <v>1</v>
          </cell>
          <cell r="BU46">
            <v>0</v>
          </cell>
          <cell r="BV46">
            <v>1</v>
          </cell>
          <cell r="BW46">
            <v>0</v>
          </cell>
          <cell r="BX46">
            <v>1</v>
          </cell>
          <cell r="BY46">
            <v>1</v>
          </cell>
          <cell r="BZ46">
            <v>0</v>
          </cell>
          <cell r="CA46">
            <v>1</v>
          </cell>
          <cell r="CB46">
            <v>1</v>
          </cell>
          <cell r="CC46">
            <v>1</v>
          </cell>
          <cell r="CD46">
            <v>1</v>
          </cell>
          <cell r="CE46">
            <v>1</v>
          </cell>
          <cell r="CF46">
            <v>0</v>
          </cell>
          <cell r="CG46">
            <v>0</v>
          </cell>
          <cell r="CH46">
            <v>0</v>
          </cell>
          <cell r="CI46">
            <v>1</v>
          </cell>
          <cell r="CJ46">
            <v>1</v>
          </cell>
          <cell r="CK46">
            <v>0</v>
          </cell>
          <cell r="CL46">
            <v>0</v>
          </cell>
          <cell r="CM46">
            <v>1</v>
          </cell>
          <cell r="CN46">
            <v>0</v>
          </cell>
          <cell r="CO46">
            <v>14</v>
          </cell>
          <cell r="CP46">
            <v>21</v>
          </cell>
        </row>
        <row r="47">
          <cell r="E47" t="str">
            <v>MTA00101-10100048</v>
          </cell>
          <cell r="F47" t="str">
            <v>PT.TOP SERATUS SEJATI TANJUNG UNCANG</v>
          </cell>
          <cell r="G47">
            <v>47991179.354079865</v>
          </cell>
          <cell r="H47">
            <v>46664774.288136572</v>
          </cell>
          <cell r="I47" t="str">
            <v>BASELINE DIBAWAH AVG 2025</v>
          </cell>
          <cell r="J47">
            <v>50971964.07222221</v>
          </cell>
          <cell r="K47">
            <v>34070709.107499987</v>
          </cell>
          <cell r="L47" t="str">
            <v>DIBAWAH BASELINE</v>
          </cell>
          <cell r="P47">
            <v>0</v>
          </cell>
          <cell r="Q47">
            <v>1</v>
          </cell>
          <cell r="R47">
            <v>1</v>
          </cell>
          <cell r="S47">
            <v>1</v>
          </cell>
          <cell r="T47">
            <v>1</v>
          </cell>
          <cell r="U47">
            <v>0</v>
          </cell>
          <cell r="V47">
            <v>0</v>
          </cell>
          <cell r="W47">
            <v>1</v>
          </cell>
          <cell r="X47">
            <v>1</v>
          </cell>
          <cell r="Y47">
            <v>1</v>
          </cell>
          <cell r="Z47">
            <v>1</v>
          </cell>
          <cell r="AA47">
            <v>1</v>
          </cell>
          <cell r="AB47">
            <v>1</v>
          </cell>
          <cell r="AC47">
            <v>1</v>
          </cell>
          <cell r="AD47">
            <v>1</v>
          </cell>
          <cell r="AE47">
            <v>1</v>
          </cell>
          <cell r="AF47">
            <v>1</v>
          </cell>
          <cell r="AG47">
            <v>1</v>
          </cell>
          <cell r="AH47">
            <v>1</v>
          </cell>
          <cell r="AI47">
            <v>1</v>
          </cell>
          <cell r="AJ47">
            <v>1</v>
          </cell>
          <cell r="AK47">
            <v>0</v>
          </cell>
          <cell r="AL47">
            <v>1</v>
          </cell>
          <cell r="AM47">
            <v>1</v>
          </cell>
          <cell r="AN47">
            <v>1</v>
          </cell>
          <cell r="AO47">
            <v>0</v>
          </cell>
          <cell r="AP47">
            <v>0</v>
          </cell>
          <cell r="AQ47">
            <v>1</v>
          </cell>
          <cell r="AR47">
            <v>1</v>
          </cell>
          <cell r="AS47">
            <v>1</v>
          </cell>
          <cell r="AT47">
            <v>1</v>
          </cell>
          <cell r="AU47">
            <v>0</v>
          </cell>
          <cell r="AV47">
            <v>0</v>
          </cell>
          <cell r="AW47">
            <v>0</v>
          </cell>
          <cell r="AX47">
            <v>0</v>
          </cell>
          <cell r="AY47">
            <v>25</v>
          </cell>
          <cell r="AZ47">
            <v>10</v>
          </cell>
          <cell r="BA47">
            <v>18</v>
          </cell>
          <cell r="BB47">
            <v>17</v>
          </cell>
          <cell r="BC47"/>
          <cell r="BE47"/>
          <cell r="BF47">
            <v>0</v>
          </cell>
          <cell r="BG47">
            <v>1</v>
          </cell>
          <cell r="BH47">
            <v>0</v>
          </cell>
          <cell r="BI47">
            <v>1</v>
          </cell>
          <cell r="BJ47">
            <v>0</v>
          </cell>
          <cell r="BK47">
            <v>0</v>
          </cell>
          <cell r="BL47">
            <v>0</v>
          </cell>
          <cell r="BM47">
            <v>1</v>
          </cell>
          <cell r="BN47">
            <v>1</v>
          </cell>
          <cell r="BO47">
            <v>0</v>
          </cell>
          <cell r="BP47">
            <v>0</v>
          </cell>
          <cell r="BQ47">
            <v>1</v>
          </cell>
          <cell r="BR47">
            <v>0</v>
          </cell>
          <cell r="BS47">
            <v>0</v>
          </cell>
          <cell r="BT47">
            <v>0</v>
          </cell>
          <cell r="BU47">
            <v>0</v>
          </cell>
          <cell r="BV47">
            <v>1</v>
          </cell>
          <cell r="BW47">
            <v>1</v>
          </cell>
          <cell r="BX47">
            <v>1</v>
          </cell>
          <cell r="BY47">
            <v>0</v>
          </cell>
          <cell r="BZ47">
            <v>0</v>
          </cell>
          <cell r="CA47">
            <v>1</v>
          </cell>
          <cell r="CB47">
            <v>1</v>
          </cell>
          <cell r="CC47">
            <v>0</v>
          </cell>
          <cell r="CD47">
            <v>1</v>
          </cell>
          <cell r="CE47">
            <v>1</v>
          </cell>
          <cell r="CF47">
            <v>0</v>
          </cell>
          <cell r="CG47">
            <v>0</v>
          </cell>
          <cell r="CH47">
            <v>0</v>
          </cell>
          <cell r="CI47">
            <v>1</v>
          </cell>
          <cell r="CJ47">
            <v>0</v>
          </cell>
          <cell r="CK47">
            <v>0</v>
          </cell>
          <cell r="CL47">
            <v>1</v>
          </cell>
          <cell r="CM47">
            <v>1</v>
          </cell>
          <cell r="CN47">
            <v>0</v>
          </cell>
          <cell r="CO47">
            <v>15</v>
          </cell>
          <cell r="CP47">
            <v>20</v>
          </cell>
        </row>
        <row r="48">
          <cell r="E48" t="str">
            <v>MTA00101-10100029</v>
          </cell>
          <cell r="F48" t="str">
            <v>PT.TOP SERATUS SEJATI NIAGA MAS</v>
          </cell>
          <cell r="G48">
            <v>26274365.369027782</v>
          </cell>
          <cell r="H48">
            <v>26405146.93525463</v>
          </cell>
          <cell r="I48" t="str">
            <v>MAINTAIN</v>
          </cell>
          <cell r="J48">
            <v>27476903.458854169</v>
          </cell>
          <cell r="K48">
            <v>6622701.0037500001</v>
          </cell>
          <cell r="L48" t="str">
            <v>DIBAWAH BASELINE</v>
          </cell>
          <cell r="P48">
            <v>0</v>
          </cell>
          <cell r="Q48">
            <v>1</v>
          </cell>
          <cell r="R48">
            <v>1</v>
          </cell>
          <cell r="S48">
            <v>1</v>
          </cell>
          <cell r="T48">
            <v>0</v>
          </cell>
          <cell r="U48">
            <v>1</v>
          </cell>
          <cell r="V48">
            <v>0</v>
          </cell>
          <cell r="W48">
            <v>1</v>
          </cell>
          <cell r="X48">
            <v>1</v>
          </cell>
          <cell r="Y48">
            <v>0</v>
          </cell>
          <cell r="Z48">
            <v>0</v>
          </cell>
          <cell r="AA48">
            <v>1</v>
          </cell>
          <cell r="AB48">
            <v>1</v>
          </cell>
          <cell r="AC48">
            <v>0</v>
          </cell>
          <cell r="AD48">
            <v>1</v>
          </cell>
          <cell r="AE48">
            <v>0</v>
          </cell>
          <cell r="AF48">
            <v>1</v>
          </cell>
          <cell r="AG48">
            <v>1</v>
          </cell>
          <cell r="AH48">
            <v>1</v>
          </cell>
          <cell r="AI48">
            <v>1</v>
          </cell>
          <cell r="AJ48">
            <v>1</v>
          </cell>
          <cell r="AK48">
            <v>0</v>
          </cell>
          <cell r="AL48">
            <v>1</v>
          </cell>
          <cell r="AM48">
            <v>1</v>
          </cell>
          <cell r="AN48">
            <v>0</v>
          </cell>
          <cell r="AO48">
            <v>0</v>
          </cell>
          <cell r="AP48">
            <v>1</v>
          </cell>
          <cell r="AQ48">
            <v>1</v>
          </cell>
          <cell r="AR48">
            <v>1</v>
          </cell>
          <cell r="AS48">
            <v>1</v>
          </cell>
          <cell r="AT48">
            <v>1</v>
          </cell>
          <cell r="AU48">
            <v>0</v>
          </cell>
          <cell r="AV48">
            <v>0</v>
          </cell>
          <cell r="AW48">
            <v>0</v>
          </cell>
          <cell r="AX48">
            <v>0</v>
          </cell>
          <cell r="AY48">
            <v>21</v>
          </cell>
          <cell r="AZ48">
            <v>14</v>
          </cell>
          <cell r="BA48">
            <v>16</v>
          </cell>
          <cell r="BB48">
            <v>19</v>
          </cell>
          <cell r="BC48"/>
          <cell r="BE48"/>
          <cell r="BF48">
            <v>0</v>
          </cell>
          <cell r="BG48">
            <v>1</v>
          </cell>
          <cell r="BH48">
            <v>0</v>
          </cell>
          <cell r="BI48">
            <v>1</v>
          </cell>
          <cell r="BJ48">
            <v>0</v>
          </cell>
          <cell r="BK48">
            <v>0</v>
          </cell>
          <cell r="BL48">
            <v>0</v>
          </cell>
          <cell r="BM48">
            <v>0</v>
          </cell>
          <cell r="BN48">
            <v>0</v>
          </cell>
          <cell r="BO48">
            <v>0</v>
          </cell>
          <cell r="BP48">
            <v>0</v>
          </cell>
          <cell r="BQ48">
            <v>0</v>
          </cell>
          <cell r="BR48">
            <v>0</v>
          </cell>
          <cell r="BS48">
            <v>0</v>
          </cell>
          <cell r="BT48">
            <v>1</v>
          </cell>
          <cell r="BU48">
            <v>0</v>
          </cell>
          <cell r="BV48">
            <v>1</v>
          </cell>
          <cell r="BW48">
            <v>0</v>
          </cell>
          <cell r="BX48">
            <v>1</v>
          </cell>
          <cell r="BY48">
            <v>0</v>
          </cell>
          <cell r="BZ48">
            <v>0</v>
          </cell>
          <cell r="CA48">
            <v>0</v>
          </cell>
          <cell r="CB48">
            <v>0</v>
          </cell>
          <cell r="CC48">
            <v>0</v>
          </cell>
          <cell r="CD48">
            <v>1</v>
          </cell>
          <cell r="CE48">
            <v>1</v>
          </cell>
          <cell r="CF48">
            <v>0</v>
          </cell>
          <cell r="CG48">
            <v>0</v>
          </cell>
          <cell r="CH48">
            <v>0</v>
          </cell>
          <cell r="CI48">
            <v>1</v>
          </cell>
          <cell r="CJ48">
            <v>1</v>
          </cell>
          <cell r="CK48">
            <v>0</v>
          </cell>
          <cell r="CL48">
            <v>1</v>
          </cell>
          <cell r="CM48">
            <v>0</v>
          </cell>
          <cell r="CN48">
            <v>0</v>
          </cell>
          <cell r="CO48">
            <v>10</v>
          </cell>
          <cell r="CP48">
            <v>25</v>
          </cell>
        </row>
        <row r="49">
          <cell r="E49" t="str">
            <v>MTA00101-10100031</v>
          </cell>
          <cell r="F49" t="str">
            <v>PT.TOP SERATUS SEJATI TEMBESI</v>
          </cell>
          <cell r="G49">
            <v>52779766.312586814</v>
          </cell>
          <cell r="H49">
            <v>47635082.349594899</v>
          </cell>
          <cell r="I49" t="str">
            <v>BASELINE DIBAWAH AVG 2025</v>
          </cell>
          <cell r="J49">
            <v>58877303.677222222</v>
          </cell>
          <cell r="K49">
            <v>53703402.613749988</v>
          </cell>
          <cell r="L49" t="str">
            <v>BELUM CAPAI TARGET</v>
          </cell>
          <cell r="P49">
            <v>1</v>
          </cell>
          <cell r="Q49">
            <v>1</v>
          </cell>
          <cell r="R49">
            <v>1</v>
          </cell>
          <cell r="S49">
            <v>1</v>
          </cell>
          <cell r="T49">
            <v>1</v>
          </cell>
          <cell r="U49">
            <v>0</v>
          </cell>
          <cell r="V49">
            <v>1</v>
          </cell>
          <cell r="W49">
            <v>1</v>
          </cell>
          <cell r="X49">
            <v>1</v>
          </cell>
          <cell r="Y49">
            <v>1</v>
          </cell>
          <cell r="Z49">
            <v>1</v>
          </cell>
          <cell r="AA49">
            <v>1</v>
          </cell>
          <cell r="AB49">
            <v>1</v>
          </cell>
          <cell r="AC49">
            <v>1</v>
          </cell>
          <cell r="AD49">
            <v>1</v>
          </cell>
          <cell r="AE49">
            <v>1</v>
          </cell>
          <cell r="AF49">
            <v>1</v>
          </cell>
          <cell r="AG49">
            <v>1</v>
          </cell>
          <cell r="AH49">
            <v>1</v>
          </cell>
          <cell r="AI49">
            <v>1</v>
          </cell>
          <cell r="AJ49">
            <v>1</v>
          </cell>
          <cell r="AK49">
            <v>1</v>
          </cell>
          <cell r="AL49">
            <v>1</v>
          </cell>
          <cell r="AM49">
            <v>1</v>
          </cell>
          <cell r="AN49">
            <v>1</v>
          </cell>
          <cell r="AO49">
            <v>1</v>
          </cell>
          <cell r="AP49">
            <v>1</v>
          </cell>
          <cell r="AQ49">
            <v>1</v>
          </cell>
          <cell r="AR49">
            <v>1</v>
          </cell>
          <cell r="AS49">
            <v>1</v>
          </cell>
          <cell r="AT49">
            <v>1</v>
          </cell>
          <cell r="AU49">
            <v>1</v>
          </cell>
          <cell r="AV49">
            <v>0</v>
          </cell>
          <cell r="AW49">
            <v>0</v>
          </cell>
          <cell r="AX49">
            <v>0</v>
          </cell>
          <cell r="AY49">
            <v>31</v>
          </cell>
          <cell r="AZ49">
            <v>4</v>
          </cell>
          <cell r="BA49">
            <v>17</v>
          </cell>
          <cell r="BB49">
            <v>18</v>
          </cell>
          <cell r="BC49"/>
          <cell r="BE49"/>
          <cell r="BF49">
            <v>0</v>
          </cell>
          <cell r="BG49">
            <v>1</v>
          </cell>
          <cell r="BH49">
            <v>0</v>
          </cell>
          <cell r="BI49">
            <v>0</v>
          </cell>
          <cell r="BJ49">
            <v>0</v>
          </cell>
          <cell r="BK49">
            <v>0</v>
          </cell>
          <cell r="BL49">
            <v>0</v>
          </cell>
          <cell r="BM49">
            <v>1</v>
          </cell>
          <cell r="BN49">
            <v>1</v>
          </cell>
          <cell r="BO49">
            <v>0</v>
          </cell>
          <cell r="BP49">
            <v>0</v>
          </cell>
          <cell r="BQ49">
            <v>1</v>
          </cell>
          <cell r="BR49">
            <v>0</v>
          </cell>
          <cell r="BS49">
            <v>1</v>
          </cell>
          <cell r="BT49">
            <v>1</v>
          </cell>
          <cell r="BU49">
            <v>0</v>
          </cell>
          <cell r="BV49">
            <v>0</v>
          </cell>
          <cell r="BW49">
            <v>1</v>
          </cell>
          <cell r="BX49">
            <v>1</v>
          </cell>
          <cell r="BY49">
            <v>0</v>
          </cell>
          <cell r="BZ49">
            <v>0</v>
          </cell>
          <cell r="CA49">
            <v>1</v>
          </cell>
          <cell r="CB49">
            <v>0</v>
          </cell>
          <cell r="CC49">
            <v>1</v>
          </cell>
          <cell r="CD49">
            <v>1</v>
          </cell>
          <cell r="CE49">
            <v>1</v>
          </cell>
          <cell r="CF49">
            <v>0</v>
          </cell>
          <cell r="CG49">
            <v>0</v>
          </cell>
          <cell r="CH49">
            <v>0</v>
          </cell>
          <cell r="CI49">
            <v>1</v>
          </cell>
          <cell r="CJ49">
            <v>0</v>
          </cell>
          <cell r="CK49">
            <v>0</v>
          </cell>
          <cell r="CL49">
            <v>1</v>
          </cell>
          <cell r="CM49">
            <v>1</v>
          </cell>
          <cell r="CN49">
            <v>0</v>
          </cell>
          <cell r="CO49">
            <v>15</v>
          </cell>
          <cell r="CP49">
            <v>20</v>
          </cell>
        </row>
        <row r="50">
          <cell r="E50" t="str">
            <v>MTA00101-10100028</v>
          </cell>
          <cell r="F50" t="str">
            <v>PT.TOP SERATUS SEJATI NAGOYA</v>
          </cell>
          <cell r="G50">
            <v>4172222.3602604172</v>
          </cell>
          <cell r="H50">
            <v>3933921.407997685</v>
          </cell>
          <cell r="I50" t="str">
            <v>BASELINE DIBAWAH AVG 2025</v>
          </cell>
          <cell r="J50">
            <v>4271741.9298958331</v>
          </cell>
          <cell r="K50">
            <v>1599730.2968749998</v>
          </cell>
          <cell r="L50" t="str">
            <v>DIBAWAH BASELINE</v>
          </cell>
          <cell r="P50">
            <v>0</v>
          </cell>
          <cell r="Q50">
            <v>0</v>
          </cell>
          <cell r="R50">
            <v>0</v>
          </cell>
          <cell r="S50">
            <v>1</v>
          </cell>
          <cell r="T50">
            <v>0</v>
          </cell>
          <cell r="U50">
            <v>0</v>
          </cell>
          <cell r="V50">
            <v>0</v>
          </cell>
          <cell r="W50">
            <v>1</v>
          </cell>
          <cell r="X50">
            <v>1</v>
          </cell>
          <cell r="Y50">
            <v>0</v>
          </cell>
          <cell r="Z50">
            <v>0</v>
          </cell>
          <cell r="AA50">
            <v>0</v>
          </cell>
          <cell r="AB50">
            <v>0</v>
          </cell>
          <cell r="AC50">
            <v>0</v>
          </cell>
          <cell r="AD50">
            <v>1</v>
          </cell>
          <cell r="AE50">
            <v>0</v>
          </cell>
          <cell r="AF50">
            <v>1</v>
          </cell>
          <cell r="AG50">
            <v>1</v>
          </cell>
          <cell r="AH50">
            <v>1</v>
          </cell>
          <cell r="AI50">
            <v>1</v>
          </cell>
          <cell r="AJ50">
            <v>1</v>
          </cell>
          <cell r="AK50">
            <v>1</v>
          </cell>
          <cell r="AL50">
            <v>1</v>
          </cell>
          <cell r="AM50">
            <v>1</v>
          </cell>
          <cell r="AN50">
            <v>0</v>
          </cell>
          <cell r="AO50">
            <v>0</v>
          </cell>
          <cell r="AP50">
            <v>0</v>
          </cell>
          <cell r="AQ50">
            <v>0</v>
          </cell>
          <cell r="AR50">
            <v>0</v>
          </cell>
          <cell r="AS50">
            <v>0</v>
          </cell>
          <cell r="AT50">
            <v>0</v>
          </cell>
          <cell r="AU50">
            <v>0</v>
          </cell>
          <cell r="AV50">
            <v>0</v>
          </cell>
          <cell r="AW50">
            <v>0</v>
          </cell>
          <cell r="AX50">
            <v>0</v>
          </cell>
          <cell r="AY50">
            <v>12</v>
          </cell>
          <cell r="AZ50">
            <v>23</v>
          </cell>
          <cell r="BA50">
            <v>7</v>
          </cell>
          <cell r="BB50">
            <v>28</v>
          </cell>
          <cell r="BC50"/>
          <cell r="BE50"/>
          <cell r="BF50">
            <v>0</v>
          </cell>
          <cell r="BG50">
            <v>0</v>
          </cell>
          <cell r="BH50">
            <v>0</v>
          </cell>
          <cell r="BI50">
            <v>1</v>
          </cell>
          <cell r="BJ50">
            <v>0</v>
          </cell>
          <cell r="BK50">
            <v>0</v>
          </cell>
          <cell r="BL50">
            <v>0</v>
          </cell>
          <cell r="BM50">
            <v>1</v>
          </cell>
          <cell r="BN50">
            <v>0</v>
          </cell>
          <cell r="BO50">
            <v>0</v>
          </cell>
          <cell r="BP50">
            <v>0</v>
          </cell>
          <cell r="BQ50">
            <v>0</v>
          </cell>
          <cell r="BR50">
            <v>0</v>
          </cell>
          <cell r="BS50">
            <v>0</v>
          </cell>
          <cell r="BT50">
            <v>0</v>
          </cell>
          <cell r="BU50">
            <v>0</v>
          </cell>
          <cell r="BV50">
            <v>0</v>
          </cell>
          <cell r="BW50">
            <v>0</v>
          </cell>
          <cell r="BX50">
            <v>1</v>
          </cell>
          <cell r="BY50">
            <v>0</v>
          </cell>
          <cell r="BZ50">
            <v>0</v>
          </cell>
          <cell r="CA50">
            <v>1</v>
          </cell>
          <cell r="CB50">
            <v>0</v>
          </cell>
          <cell r="CC50">
            <v>0</v>
          </cell>
          <cell r="CD50">
            <v>0</v>
          </cell>
          <cell r="CE50">
            <v>0</v>
          </cell>
          <cell r="CF50">
            <v>0</v>
          </cell>
          <cell r="CG50">
            <v>0</v>
          </cell>
          <cell r="CH50">
            <v>0</v>
          </cell>
          <cell r="CI50">
            <v>0</v>
          </cell>
          <cell r="CJ50">
            <v>0</v>
          </cell>
          <cell r="CK50">
            <v>0</v>
          </cell>
          <cell r="CL50">
            <v>0</v>
          </cell>
          <cell r="CM50">
            <v>0</v>
          </cell>
          <cell r="CN50">
            <v>0</v>
          </cell>
          <cell r="CO50">
            <v>4</v>
          </cell>
          <cell r="CP50">
            <v>31</v>
          </cell>
        </row>
        <row r="51">
          <cell r="E51" t="str">
            <v>MTA00101-10100027</v>
          </cell>
          <cell r="F51" t="str">
            <v>PT.TOP SERATUS SEJATI TUNAS</v>
          </cell>
          <cell r="G51">
            <v>17189900.655086804</v>
          </cell>
          <cell r="H51">
            <v>16818008.829664353</v>
          </cell>
          <cell r="I51" t="str">
            <v>BASELINE DIBAWAH AVG 2025</v>
          </cell>
          <cell r="J51">
            <v>19217655.489375006</v>
          </cell>
          <cell r="K51">
            <v>30221621.000000007</v>
          </cell>
          <cell r="L51" t="str">
            <v>OK</v>
          </cell>
          <cell r="P51">
            <v>0</v>
          </cell>
          <cell r="Q51">
            <v>0</v>
          </cell>
          <cell r="R51">
            <v>0</v>
          </cell>
          <cell r="S51">
            <v>1</v>
          </cell>
          <cell r="T51">
            <v>1</v>
          </cell>
          <cell r="U51">
            <v>0</v>
          </cell>
          <cell r="V51">
            <v>0</v>
          </cell>
          <cell r="W51">
            <v>1</v>
          </cell>
          <cell r="X51">
            <v>1</v>
          </cell>
          <cell r="Y51">
            <v>0</v>
          </cell>
          <cell r="Z51">
            <v>0</v>
          </cell>
          <cell r="AA51">
            <v>1</v>
          </cell>
          <cell r="AB51">
            <v>1</v>
          </cell>
          <cell r="AC51">
            <v>0</v>
          </cell>
          <cell r="AD51">
            <v>1</v>
          </cell>
          <cell r="AE51">
            <v>0</v>
          </cell>
          <cell r="AF51">
            <v>1</v>
          </cell>
          <cell r="AG51">
            <v>1</v>
          </cell>
          <cell r="AH51">
            <v>1</v>
          </cell>
          <cell r="AI51">
            <v>1</v>
          </cell>
          <cell r="AJ51">
            <v>1</v>
          </cell>
          <cell r="AK51">
            <v>1</v>
          </cell>
          <cell r="AL51">
            <v>1</v>
          </cell>
          <cell r="AM51">
            <v>1</v>
          </cell>
          <cell r="AN51">
            <v>0</v>
          </cell>
          <cell r="AO51">
            <v>1</v>
          </cell>
          <cell r="AP51">
            <v>0</v>
          </cell>
          <cell r="AQ51">
            <v>1</v>
          </cell>
          <cell r="AR51">
            <v>0</v>
          </cell>
          <cell r="AS51">
            <v>1</v>
          </cell>
          <cell r="AT51">
            <v>1</v>
          </cell>
          <cell r="AU51">
            <v>1</v>
          </cell>
          <cell r="AV51">
            <v>0</v>
          </cell>
          <cell r="AW51">
            <v>0</v>
          </cell>
          <cell r="AX51">
            <v>0</v>
          </cell>
          <cell r="AY51">
            <v>20</v>
          </cell>
          <cell r="AZ51">
            <v>15</v>
          </cell>
          <cell r="BA51">
            <v>12</v>
          </cell>
          <cell r="BB51">
            <v>23</v>
          </cell>
          <cell r="BC51"/>
          <cell r="BE51"/>
          <cell r="BF51">
            <v>0</v>
          </cell>
          <cell r="BG51">
            <v>0</v>
          </cell>
          <cell r="BH51">
            <v>0</v>
          </cell>
          <cell r="BI51">
            <v>0</v>
          </cell>
          <cell r="BJ51">
            <v>0</v>
          </cell>
          <cell r="BK51">
            <v>0</v>
          </cell>
          <cell r="BL51">
            <v>0</v>
          </cell>
          <cell r="BM51">
            <v>1</v>
          </cell>
          <cell r="BN51">
            <v>0</v>
          </cell>
          <cell r="BO51">
            <v>0</v>
          </cell>
          <cell r="BP51">
            <v>0</v>
          </cell>
          <cell r="BQ51">
            <v>0</v>
          </cell>
          <cell r="BR51">
            <v>1</v>
          </cell>
          <cell r="BS51">
            <v>0</v>
          </cell>
          <cell r="BT51">
            <v>0</v>
          </cell>
          <cell r="BU51">
            <v>0</v>
          </cell>
          <cell r="BV51">
            <v>0</v>
          </cell>
          <cell r="BW51">
            <v>1</v>
          </cell>
          <cell r="BX51">
            <v>0</v>
          </cell>
          <cell r="BY51">
            <v>1</v>
          </cell>
          <cell r="BZ51">
            <v>0</v>
          </cell>
          <cell r="CA51">
            <v>1</v>
          </cell>
          <cell r="CB51">
            <v>1</v>
          </cell>
          <cell r="CC51">
            <v>1</v>
          </cell>
          <cell r="CD51">
            <v>1</v>
          </cell>
          <cell r="CE51">
            <v>1</v>
          </cell>
          <cell r="CF51">
            <v>0</v>
          </cell>
          <cell r="CG51">
            <v>0</v>
          </cell>
          <cell r="CH51">
            <v>0</v>
          </cell>
          <cell r="CI51">
            <v>1</v>
          </cell>
          <cell r="CJ51">
            <v>0</v>
          </cell>
          <cell r="CK51">
            <v>0</v>
          </cell>
          <cell r="CL51">
            <v>0</v>
          </cell>
          <cell r="CM51">
            <v>0</v>
          </cell>
          <cell r="CN51">
            <v>0</v>
          </cell>
          <cell r="CO51">
            <v>10</v>
          </cell>
          <cell r="CP51">
            <v>25</v>
          </cell>
        </row>
        <row r="52">
          <cell r="E52" t="str">
            <v>MTA00101-10100064</v>
          </cell>
          <cell r="F52" t="str">
            <v>PT.TOP SERATUS SEJATI GARDEN AVENUE</v>
          </cell>
          <cell r="G52">
            <v>32671498.269322917</v>
          </cell>
          <cell r="H52">
            <v>21780998.846215278</v>
          </cell>
          <cell r="I52" t="str">
            <v>BASELINE DIBAWAH AVG 2025</v>
          </cell>
          <cell r="J52">
            <v>65342996.538645834</v>
          </cell>
          <cell r="K52">
            <v>10378383.360000001</v>
          </cell>
          <cell r="L52" t="str">
            <v>DIBAWAH BASELINE</v>
          </cell>
          <cell r="P52">
            <v>1</v>
          </cell>
          <cell r="Q52">
            <v>1</v>
          </cell>
          <cell r="R52">
            <v>1</v>
          </cell>
          <cell r="S52">
            <v>1</v>
          </cell>
          <cell r="T52">
            <v>1</v>
          </cell>
          <cell r="U52">
            <v>0</v>
          </cell>
          <cell r="V52">
            <v>1</v>
          </cell>
          <cell r="W52">
            <v>1</v>
          </cell>
          <cell r="X52">
            <v>1</v>
          </cell>
          <cell r="Y52">
            <v>1</v>
          </cell>
          <cell r="Z52">
            <v>0</v>
          </cell>
          <cell r="AA52">
            <v>1</v>
          </cell>
          <cell r="AB52">
            <v>1</v>
          </cell>
          <cell r="AC52">
            <v>1</v>
          </cell>
          <cell r="AD52">
            <v>1</v>
          </cell>
          <cell r="AE52">
            <v>1</v>
          </cell>
          <cell r="AF52">
            <v>1</v>
          </cell>
          <cell r="AG52">
            <v>1</v>
          </cell>
          <cell r="AH52">
            <v>1</v>
          </cell>
          <cell r="AI52">
            <v>1</v>
          </cell>
          <cell r="AJ52">
            <v>1</v>
          </cell>
          <cell r="AK52">
            <v>1</v>
          </cell>
          <cell r="AL52">
            <v>1</v>
          </cell>
          <cell r="AM52">
            <v>1</v>
          </cell>
          <cell r="AN52">
            <v>1</v>
          </cell>
          <cell r="AO52">
            <v>1</v>
          </cell>
          <cell r="AP52">
            <v>0</v>
          </cell>
          <cell r="AQ52">
            <v>1</v>
          </cell>
          <cell r="AR52">
            <v>1</v>
          </cell>
          <cell r="AS52">
            <v>1</v>
          </cell>
          <cell r="AT52">
            <v>1</v>
          </cell>
          <cell r="AU52">
            <v>1</v>
          </cell>
          <cell r="AV52">
            <v>0</v>
          </cell>
          <cell r="AW52">
            <v>0</v>
          </cell>
          <cell r="AX52">
            <v>0</v>
          </cell>
          <cell r="AY52">
            <v>29</v>
          </cell>
          <cell r="AZ52">
            <v>6</v>
          </cell>
          <cell r="BA52">
            <v>12</v>
          </cell>
          <cell r="BB52">
            <v>23</v>
          </cell>
          <cell r="BC52"/>
          <cell r="BE52"/>
          <cell r="BF52">
            <v>0</v>
          </cell>
          <cell r="BG52">
            <v>1</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1</v>
          </cell>
          <cell r="BZ52">
            <v>0</v>
          </cell>
          <cell r="CA52">
            <v>1</v>
          </cell>
          <cell r="CB52">
            <v>0</v>
          </cell>
          <cell r="CC52">
            <v>0</v>
          </cell>
          <cell r="CD52">
            <v>0</v>
          </cell>
          <cell r="CE52">
            <v>0</v>
          </cell>
          <cell r="CF52">
            <v>0</v>
          </cell>
          <cell r="CG52">
            <v>0</v>
          </cell>
          <cell r="CH52">
            <v>0</v>
          </cell>
          <cell r="CI52">
            <v>0</v>
          </cell>
          <cell r="CJ52">
            <v>0</v>
          </cell>
          <cell r="CK52">
            <v>0</v>
          </cell>
          <cell r="CL52">
            <v>0</v>
          </cell>
          <cell r="CM52">
            <v>0</v>
          </cell>
          <cell r="CN52">
            <v>0</v>
          </cell>
          <cell r="CO52">
            <v>3</v>
          </cell>
          <cell r="CP52">
            <v>32</v>
          </cell>
        </row>
        <row r="53">
          <cell r="E53" t="str">
            <v>MTA00101-10100038</v>
          </cell>
          <cell r="F53" t="str">
            <v>PT.TOP SERATUS SEJATI AVIARI</v>
          </cell>
          <cell r="G53">
            <v>11021732.808645835</v>
          </cell>
          <cell r="H53">
            <v>10684497.83712963</v>
          </cell>
          <cell r="I53" t="str">
            <v>BASELINE DIBAWAH AVG 2025</v>
          </cell>
          <cell r="J53">
            <v>11271394.156770835</v>
          </cell>
          <cell r="K53">
            <v>3255495.0893750004</v>
          </cell>
          <cell r="L53" t="str">
            <v>DIBAWAH BASELINE</v>
          </cell>
          <cell r="P53">
            <v>0</v>
          </cell>
          <cell r="Q53">
            <v>0</v>
          </cell>
          <cell r="R53">
            <v>0</v>
          </cell>
          <cell r="S53">
            <v>0</v>
          </cell>
          <cell r="T53">
            <v>0</v>
          </cell>
          <cell r="U53">
            <v>0</v>
          </cell>
          <cell r="V53">
            <v>0</v>
          </cell>
          <cell r="W53">
            <v>1</v>
          </cell>
          <cell r="X53">
            <v>1</v>
          </cell>
          <cell r="Y53">
            <v>0</v>
          </cell>
          <cell r="Z53">
            <v>0</v>
          </cell>
          <cell r="AA53">
            <v>1</v>
          </cell>
          <cell r="AB53">
            <v>1</v>
          </cell>
          <cell r="AC53">
            <v>0</v>
          </cell>
          <cell r="AD53">
            <v>1</v>
          </cell>
          <cell r="AE53">
            <v>0</v>
          </cell>
          <cell r="AF53">
            <v>1</v>
          </cell>
          <cell r="AG53">
            <v>1</v>
          </cell>
          <cell r="AH53">
            <v>1</v>
          </cell>
          <cell r="AI53">
            <v>1</v>
          </cell>
          <cell r="AJ53">
            <v>1</v>
          </cell>
          <cell r="AK53">
            <v>0</v>
          </cell>
          <cell r="AL53">
            <v>1</v>
          </cell>
          <cell r="AM53">
            <v>1</v>
          </cell>
          <cell r="AN53">
            <v>0</v>
          </cell>
          <cell r="AO53">
            <v>0</v>
          </cell>
          <cell r="AP53">
            <v>0</v>
          </cell>
          <cell r="AQ53">
            <v>1</v>
          </cell>
          <cell r="AR53">
            <v>1</v>
          </cell>
          <cell r="AS53">
            <v>1</v>
          </cell>
          <cell r="AT53">
            <v>1</v>
          </cell>
          <cell r="AU53">
            <v>0</v>
          </cell>
          <cell r="AV53">
            <v>0</v>
          </cell>
          <cell r="AW53">
            <v>0</v>
          </cell>
          <cell r="AX53">
            <v>0</v>
          </cell>
          <cell r="AY53">
            <v>16</v>
          </cell>
          <cell r="AZ53">
            <v>19</v>
          </cell>
          <cell r="BA53">
            <v>10</v>
          </cell>
          <cell r="BB53">
            <v>25</v>
          </cell>
          <cell r="BC53"/>
          <cell r="BE53"/>
          <cell r="BF53">
            <v>0</v>
          </cell>
          <cell r="BG53">
            <v>0</v>
          </cell>
          <cell r="BH53">
            <v>0</v>
          </cell>
          <cell r="BI53">
            <v>0</v>
          </cell>
          <cell r="BJ53">
            <v>0</v>
          </cell>
          <cell r="BK53">
            <v>0</v>
          </cell>
          <cell r="BL53">
            <v>0</v>
          </cell>
          <cell r="BM53">
            <v>1</v>
          </cell>
          <cell r="BN53">
            <v>0</v>
          </cell>
          <cell r="BO53">
            <v>0</v>
          </cell>
          <cell r="BP53">
            <v>0</v>
          </cell>
          <cell r="BQ53">
            <v>1</v>
          </cell>
          <cell r="BR53">
            <v>1</v>
          </cell>
          <cell r="BS53">
            <v>0</v>
          </cell>
          <cell r="BT53">
            <v>0</v>
          </cell>
          <cell r="BU53">
            <v>0</v>
          </cell>
          <cell r="BV53">
            <v>1</v>
          </cell>
          <cell r="BW53">
            <v>1</v>
          </cell>
          <cell r="BX53">
            <v>1</v>
          </cell>
          <cell r="BY53">
            <v>0</v>
          </cell>
          <cell r="BZ53">
            <v>0</v>
          </cell>
          <cell r="CA53">
            <v>1</v>
          </cell>
          <cell r="CB53">
            <v>0</v>
          </cell>
          <cell r="CC53">
            <v>0</v>
          </cell>
          <cell r="CD53">
            <v>1</v>
          </cell>
          <cell r="CE53">
            <v>0</v>
          </cell>
          <cell r="CF53">
            <v>0</v>
          </cell>
          <cell r="CG53">
            <v>0</v>
          </cell>
          <cell r="CH53">
            <v>0</v>
          </cell>
          <cell r="CI53">
            <v>1</v>
          </cell>
          <cell r="CJ53">
            <v>1</v>
          </cell>
          <cell r="CK53">
            <v>0</v>
          </cell>
          <cell r="CL53">
            <v>0</v>
          </cell>
          <cell r="CM53">
            <v>0</v>
          </cell>
          <cell r="CN53">
            <v>0</v>
          </cell>
          <cell r="CO53">
            <v>10</v>
          </cell>
          <cell r="CP53">
            <v>25</v>
          </cell>
        </row>
        <row r="54">
          <cell r="E54" t="str">
            <v>MTA00101-10100033</v>
          </cell>
          <cell r="F54" t="str">
            <v>PT.TOP SERATUS SEJATI BENGKONG</v>
          </cell>
          <cell r="G54">
            <v>21730755.006354164</v>
          </cell>
          <cell r="H54">
            <v>22183508.747002319</v>
          </cell>
          <cell r="I54" t="str">
            <v>MAINTAIN</v>
          </cell>
          <cell r="J54">
            <v>26866768.443541672</v>
          </cell>
          <cell r="K54">
            <v>5421080.5731250001</v>
          </cell>
          <cell r="L54" t="str">
            <v>DIBAWAH BASELINE</v>
          </cell>
          <cell r="P54">
            <v>0</v>
          </cell>
          <cell r="Q54">
            <v>1</v>
          </cell>
          <cell r="R54">
            <v>1</v>
          </cell>
          <cell r="S54">
            <v>1</v>
          </cell>
          <cell r="T54">
            <v>0</v>
          </cell>
          <cell r="U54">
            <v>1</v>
          </cell>
          <cell r="V54">
            <v>0</v>
          </cell>
          <cell r="W54">
            <v>1</v>
          </cell>
          <cell r="X54">
            <v>1</v>
          </cell>
          <cell r="Y54">
            <v>0</v>
          </cell>
          <cell r="Z54">
            <v>0</v>
          </cell>
          <cell r="AA54">
            <v>1</v>
          </cell>
          <cell r="AB54">
            <v>0</v>
          </cell>
          <cell r="AC54">
            <v>1</v>
          </cell>
          <cell r="AD54">
            <v>1</v>
          </cell>
          <cell r="AE54">
            <v>0</v>
          </cell>
          <cell r="AF54">
            <v>1</v>
          </cell>
          <cell r="AG54">
            <v>1</v>
          </cell>
          <cell r="AH54">
            <v>1</v>
          </cell>
          <cell r="AI54">
            <v>1</v>
          </cell>
          <cell r="AJ54">
            <v>1</v>
          </cell>
          <cell r="AK54">
            <v>1</v>
          </cell>
          <cell r="AL54">
            <v>1</v>
          </cell>
          <cell r="AM54">
            <v>1</v>
          </cell>
          <cell r="AN54">
            <v>1</v>
          </cell>
          <cell r="AO54">
            <v>0</v>
          </cell>
          <cell r="AP54">
            <v>0</v>
          </cell>
          <cell r="AQ54">
            <v>1</v>
          </cell>
          <cell r="AR54">
            <v>1</v>
          </cell>
          <cell r="AS54">
            <v>1</v>
          </cell>
          <cell r="AT54">
            <v>1</v>
          </cell>
          <cell r="AU54">
            <v>0</v>
          </cell>
          <cell r="AV54">
            <v>0</v>
          </cell>
          <cell r="AW54">
            <v>0</v>
          </cell>
          <cell r="AX54">
            <v>0</v>
          </cell>
          <cell r="AY54">
            <v>22</v>
          </cell>
          <cell r="AZ54">
            <v>13</v>
          </cell>
          <cell r="BA54">
            <v>11</v>
          </cell>
          <cell r="BB54">
            <v>24</v>
          </cell>
          <cell r="BC54"/>
          <cell r="BE54"/>
          <cell r="BF54">
            <v>0</v>
          </cell>
          <cell r="BG54">
            <v>0</v>
          </cell>
          <cell r="BH54">
            <v>0</v>
          </cell>
          <cell r="BI54">
            <v>0</v>
          </cell>
          <cell r="BJ54">
            <v>0</v>
          </cell>
          <cell r="BK54">
            <v>0</v>
          </cell>
          <cell r="BL54">
            <v>0</v>
          </cell>
          <cell r="BM54">
            <v>1</v>
          </cell>
          <cell r="BN54">
            <v>0</v>
          </cell>
          <cell r="BO54">
            <v>0</v>
          </cell>
          <cell r="BP54">
            <v>0</v>
          </cell>
          <cell r="BQ54">
            <v>0</v>
          </cell>
          <cell r="BR54">
            <v>0</v>
          </cell>
          <cell r="BS54">
            <v>0</v>
          </cell>
          <cell r="BT54">
            <v>1</v>
          </cell>
          <cell r="BU54">
            <v>0</v>
          </cell>
          <cell r="BV54">
            <v>0</v>
          </cell>
          <cell r="BW54">
            <v>1</v>
          </cell>
          <cell r="BX54">
            <v>1</v>
          </cell>
          <cell r="BY54">
            <v>0</v>
          </cell>
          <cell r="BZ54">
            <v>0</v>
          </cell>
          <cell r="CA54">
            <v>1</v>
          </cell>
          <cell r="CB54">
            <v>0</v>
          </cell>
          <cell r="CC54">
            <v>0</v>
          </cell>
          <cell r="CD54">
            <v>1</v>
          </cell>
          <cell r="CE54">
            <v>1</v>
          </cell>
          <cell r="CF54">
            <v>0</v>
          </cell>
          <cell r="CG54">
            <v>0</v>
          </cell>
          <cell r="CH54">
            <v>0</v>
          </cell>
          <cell r="CI54">
            <v>0</v>
          </cell>
          <cell r="CJ54">
            <v>0</v>
          </cell>
          <cell r="CK54">
            <v>0</v>
          </cell>
          <cell r="CL54">
            <v>1</v>
          </cell>
          <cell r="CM54">
            <v>0</v>
          </cell>
          <cell r="CN54">
            <v>0</v>
          </cell>
          <cell r="CO54">
            <v>8</v>
          </cell>
          <cell r="CP54">
            <v>27</v>
          </cell>
        </row>
        <row r="55">
          <cell r="E55" t="str">
            <v>MTA00101-10100054</v>
          </cell>
          <cell r="F55" t="str">
            <v>PT.TOP SERATUS SEJATI ANGGREK MAS</v>
          </cell>
          <cell r="G55">
            <v>8936147.5846875031</v>
          </cell>
          <cell r="H55">
            <v>8774909.1745138895</v>
          </cell>
          <cell r="I55" t="str">
            <v>BASELINE DIBAWAH AVG 2025</v>
          </cell>
          <cell r="J55">
            <v>10074218.018541669</v>
          </cell>
          <cell r="K55">
            <v>4691890.9200000009</v>
          </cell>
          <cell r="L55" t="str">
            <v>DIBAWAH BASELINE</v>
          </cell>
          <cell r="P55">
            <v>0</v>
          </cell>
          <cell r="Q55">
            <v>1</v>
          </cell>
          <cell r="R55">
            <v>1</v>
          </cell>
          <cell r="S55">
            <v>0</v>
          </cell>
          <cell r="T55">
            <v>0</v>
          </cell>
          <cell r="U55">
            <v>0</v>
          </cell>
          <cell r="V55">
            <v>0</v>
          </cell>
          <cell r="W55">
            <v>0</v>
          </cell>
          <cell r="X55">
            <v>1</v>
          </cell>
          <cell r="Y55">
            <v>0</v>
          </cell>
          <cell r="Z55">
            <v>0</v>
          </cell>
          <cell r="AA55">
            <v>0</v>
          </cell>
          <cell r="AB55">
            <v>0</v>
          </cell>
          <cell r="AC55">
            <v>0</v>
          </cell>
          <cell r="AD55">
            <v>1</v>
          </cell>
          <cell r="AE55">
            <v>0</v>
          </cell>
          <cell r="AF55">
            <v>1</v>
          </cell>
          <cell r="AG55">
            <v>0</v>
          </cell>
          <cell r="AH55">
            <v>0</v>
          </cell>
          <cell r="AI55">
            <v>1</v>
          </cell>
          <cell r="AJ55">
            <v>1</v>
          </cell>
          <cell r="AK55">
            <v>0</v>
          </cell>
          <cell r="AL55">
            <v>1</v>
          </cell>
          <cell r="AM55">
            <v>1</v>
          </cell>
          <cell r="AN55">
            <v>0</v>
          </cell>
          <cell r="AO55">
            <v>0</v>
          </cell>
          <cell r="AP55">
            <v>0</v>
          </cell>
          <cell r="AQ55">
            <v>1</v>
          </cell>
          <cell r="AR55">
            <v>0</v>
          </cell>
          <cell r="AS55">
            <v>0</v>
          </cell>
          <cell r="AT55">
            <v>1</v>
          </cell>
          <cell r="AU55">
            <v>0</v>
          </cell>
          <cell r="AV55">
            <v>0</v>
          </cell>
          <cell r="AW55">
            <v>0</v>
          </cell>
          <cell r="AX55">
            <v>0</v>
          </cell>
          <cell r="AY55">
            <v>11</v>
          </cell>
          <cell r="AZ55">
            <v>24</v>
          </cell>
          <cell r="BA55">
            <v>7</v>
          </cell>
          <cell r="BB55">
            <v>28</v>
          </cell>
          <cell r="BC55"/>
          <cell r="BE55"/>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1</v>
          </cell>
          <cell r="BW55">
            <v>0</v>
          </cell>
          <cell r="BX55">
            <v>0</v>
          </cell>
          <cell r="BY55">
            <v>0</v>
          </cell>
          <cell r="BZ55">
            <v>0</v>
          </cell>
          <cell r="CA55">
            <v>1</v>
          </cell>
          <cell r="CB55">
            <v>1</v>
          </cell>
          <cell r="CC55">
            <v>0</v>
          </cell>
          <cell r="CD55">
            <v>1</v>
          </cell>
          <cell r="CE55">
            <v>1</v>
          </cell>
          <cell r="CF55">
            <v>0</v>
          </cell>
          <cell r="CG55">
            <v>0</v>
          </cell>
          <cell r="CH55">
            <v>0</v>
          </cell>
          <cell r="CI55">
            <v>0</v>
          </cell>
          <cell r="CJ55">
            <v>0</v>
          </cell>
          <cell r="CK55">
            <v>0</v>
          </cell>
          <cell r="CL55">
            <v>0</v>
          </cell>
          <cell r="CM55">
            <v>0</v>
          </cell>
          <cell r="CN55">
            <v>0</v>
          </cell>
          <cell r="CO55">
            <v>5</v>
          </cell>
          <cell r="CP55">
            <v>30</v>
          </cell>
        </row>
        <row r="56">
          <cell r="E56" t="str">
            <v>MTA00101-10100037</v>
          </cell>
          <cell r="F56" t="str">
            <v>PT.TOP SERATUS SEJATI TIBAN</v>
          </cell>
          <cell r="G56">
            <v>8760644.8735763896</v>
          </cell>
          <cell r="H56">
            <v>9304788.6726620365</v>
          </cell>
          <cell r="I56" t="str">
            <v>MAINTAIN</v>
          </cell>
          <cell r="J56">
            <v>10393076.270833332</v>
          </cell>
          <cell r="K56">
            <v>972973.36250000005</v>
          </cell>
          <cell r="L56" t="str">
            <v>DIBAWAH BASELINE</v>
          </cell>
          <cell r="P56">
            <v>0</v>
          </cell>
          <cell r="Q56">
            <v>0</v>
          </cell>
          <cell r="R56">
            <v>0</v>
          </cell>
          <cell r="S56">
            <v>1</v>
          </cell>
          <cell r="T56">
            <v>1</v>
          </cell>
          <cell r="U56">
            <v>0</v>
          </cell>
          <cell r="V56">
            <v>0</v>
          </cell>
          <cell r="W56">
            <v>0</v>
          </cell>
          <cell r="X56">
            <v>1</v>
          </cell>
          <cell r="Y56">
            <v>0</v>
          </cell>
          <cell r="Z56">
            <v>0</v>
          </cell>
          <cell r="AA56">
            <v>1</v>
          </cell>
          <cell r="AB56">
            <v>1</v>
          </cell>
          <cell r="AC56">
            <v>0</v>
          </cell>
          <cell r="AD56">
            <v>1</v>
          </cell>
          <cell r="AE56">
            <v>0</v>
          </cell>
          <cell r="AF56">
            <v>1</v>
          </cell>
          <cell r="AG56">
            <v>1</v>
          </cell>
          <cell r="AH56">
            <v>1</v>
          </cell>
          <cell r="AI56">
            <v>1</v>
          </cell>
          <cell r="AJ56">
            <v>1</v>
          </cell>
          <cell r="AK56">
            <v>0</v>
          </cell>
          <cell r="AL56">
            <v>0</v>
          </cell>
          <cell r="AM56">
            <v>1</v>
          </cell>
          <cell r="AN56">
            <v>0</v>
          </cell>
          <cell r="AO56">
            <v>0</v>
          </cell>
          <cell r="AP56">
            <v>0</v>
          </cell>
          <cell r="AQ56">
            <v>1</v>
          </cell>
          <cell r="AR56">
            <v>0</v>
          </cell>
          <cell r="AS56">
            <v>1</v>
          </cell>
          <cell r="AT56">
            <v>1</v>
          </cell>
          <cell r="AU56">
            <v>0</v>
          </cell>
          <cell r="AV56">
            <v>0</v>
          </cell>
          <cell r="AW56">
            <v>0</v>
          </cell>
          <cell r="AX56">
            <v>0</v>
          </cell>
          <cell r="AY56">
            <v>15</v>
          </cell>
          <cell r="AZ56">
            <v>20</v>
          </cell>
          <cell r="BA56">
            <v>9</v>
          </cell>
          <cell r="BB56">
            <v>26</v>
          </cell>
          <cell r="BC56"/>
          <cell r="BE56"/>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1</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1</v>
          </cell>
          <cell r="CP56">
            <v>34</v>
          </cell>
        </row>
        <row r="57">
          <cell r="E57" t="str">
            <v>MTA00101-10100022</v>
          </cell>
          <cell r="F57" t="str">
            <v>SPM.NEW VICTORIA AVIARI</v>
          </cell>
          <cell r="G57">
            <v>59071057.784184061</v>
          </cell>
          <cell r="H57">
            <v>57564093.124641217</v>
          </cell>
          <cell r="I57" t="str">
            <v>BASELINE DIBAWAH AVG 2025</v>
          </cell>
          <cell r="J57">
            <v>62526953.038229205</v>
          </cell>
          <cell r="K57">
            <v>11630902.793958331</v>
          </cell>
          <cell r="L57" t="str">
            <v>DIBAWAH BASELINE</v>
          </cell>
          <cell r="P57">
            <v>0</v>
          </cell>
          <cell r="Q57">
            <v>1</v>
          </cell>
          <cell r="R57">
            <v>0</v>
          </cell>
          <cell r="S57">
            <v>1</v>
          </cell>
          <cell r="T57">
            <v>0</v>
          </cell>
          <cell r="U57">
            <v>0</v>
          </cell>
          <cell r="V57">
            <v>0</v>
          </cell>
          <cell r="W57">
            <v>1</v>
          </cell>
          <cell r="X57">
            <v>1</v>
          </cell>
          <cell r="Y57">
            <v>1</v>
          </cell>
          <cell r="Z57">
            <v>1</v>
          </cell>
          <cell r="AA57">
            <v>1</v>
          </cell>
          <cell r="AB57">
            <v>1</v>
          </cell>
          <cell r="AC57">
            <v>1</v>
          </cell>
          <cell r="AD57">
            <v>1</v>
          </cell>
          <cell r="AE57">
            <v>1</v>
          </cell>
          <cell r="AF57">
            <v>1</v>
          </cell>
          <cell r="AG57">
            <v>1</v>
          </cell>
          <cell r="AH57">
            <v>1</v>
          </cell>
          <cell r="AI57">
            <v>1</v>
          </cell>
          <cell r="AJ57">
            <v>1</v>
          </cell>
          <cell r="AK57">
            <v>1</v>
          </cell>
          <cell r="AL57">
            <v>1</v>
          </cell>
          <cell r="AM57">
            <v>1</v>
          </cell>
          <cell r="AN57">
            <v>1</v>
          </cell>
          <cell r="AO57">
            <v>0</v>
          </cell>
          <cell r="AP57">
            <v>0</v>
          </cell>
          <cell r="AQ57">
            <v>1</v>
          </cell>
          <cell r="AR57">
            <v>1</v>
          </cell>
          <cell r="AS57">
            <v>1</v>
          </cell>
          <cell r="AT57">
            <v>1</v>
          </cell>
          <cell r="AU57">
            <v>0</v>
          </cell>
          <cell r="AV57">
            <v>0</v>
          </cell>
          <cell r="AW57">
            <v>0</v>
          </cell>
          <cell r="AX57">
            <v>0</v>
          </cell>
          <cell r="AY57">
            <v>24</v>
          </cell>
          <cell r="AZ57">
            <v>11</v>
          </cell>
          <cell r="BA57">
            <v>18</v>
          </cell>
          <cell r="BB57">
            <v>17</v>
          </cell>
          <cell r="BC57"/>
          <cell r="BE57"/>
          <cell r="BF57">
            <v>0</v>
          </cell>
          <cell r="BG57">
            <v>0</v>
          </cell>
          <cell r="BH57">
            <v>1</v>
          </cell>
          <cell r="BI57">
            <v>0</v>
          </cell>
          <cell r="BJ57">
            <v>0</v>
          </cell>
          <cell r="BK57">
            <v>0</v>
          </cell>
          <cell r="BL57">
            <v>0</v>
          </cell>
          <cell r="BM57">
            <v>1</v>
          </cell>
          <cell r="BN57">
            <v>0</v>
          </cell>
          <cell r="BO57">
            <v>0</v>
          </cell>
          <cell r="BP57">
            <v>0</v>
          </cell>
          <cell r="BQ57">
            <v>1</v>
          </cell>
          <cell r="BR57">
            <v>1</v>
          </cell>
          <cell r="BS57">
            <v>0</v>
          </cell>
          <cell r="BT57">
            <v>1</v>
          </cell>
          <cell r="BU57">
            <v>0</v>
          </cell>
          <cell r="BV57">
            <v>0</v>
          </cell>
          <cell r="BW57">
            <v>1</v>
          </cell>
          <cell r="BX57">
            <v>1</v>
          </cell>
          <cell r="BY57">
            <v>0</v>
          </cell>
          <cell r="BZ57">
            <v>0</v>
          </cell>
          <cell r="CA57">
            <v>1</v>
          </cell>
          <cell r="CB57">
            <v>1</v>
          </cell>
          <cell r="CC57">
            <v>0</v>
          </cell>
          <cell r="CD57">
            <v>1</v>
          </cell>
          <cell r="CE57">
            <v>0</v>
          </cell>
          <cell r="CF57">
            <v>0</v>
          </cell>
          <cell r="CG57">
            <v>0</v>
          </cell>
          <cell r="CH57">
            <v>0</v>
          </cell>
          <cell r="CI57">
            <v>1</v>
          </cell>
          <cell r="CJ57">
            <v>1</v>
          </cell>
          <cell r="CK57">
            <v>0</v>
          </cell>
          <cell r="CL57">
            <v>0</v>
          </cell>
          <cell r="CM57">
            <v>0</v>
          </cell>
          <cell r="CN57">
            <v>0</v>
          </cell>
          <cell r="CO57">
            <v>12</v>
          </cell>
          <cell r="CP57">
            <v>23</v>
          </cell>
        </row>
        <row r="58">
          <cell r="E58" t="str">
            <v>MTA00101-10100046</v>
          </cell>
          <cell r="F58" t="str">
            <v>MM.NEW VICTORIA</v>
          </cell>
          <cell r="G58">
            <v>32527547.602552086</v>
          </cell>
          <cell r="H58">
            <v>32668947.910671297</v>
          </cell>
          <cell r="I58" t="str">
            <v>MAINTAIN</v>
          </cell>
          <cell r="J58">
            <v>36117697.761006944</v>
          </cell>
          <cell r="K58">
            <v>20520276.458125006</v>
          </cell>
          <cell r="L58" t="str">
            <v>DIBAWAH BASELINE</v>
          </cell>
          <cell r="P58">
            <v>0</v>
          </cell>
          <cell r="Q58">
            <v>1</v>
          </cell>
          <cell r="R58">
            <v>1</v>
          </cell>
          <cell r="S58">
            <v>1</v>
          </cell>
          <cell r="T58">
            <v>1</v>
          </cell>
          <cell r="U58">
            <v>0</v>
          </cell>
          <cell r="V58">
            <v>0</v>
          </cell>
          <cell r="W58">
            <v>1</v>
          </cell>
          <cell r="X58">
            <v>1</v>
          </cell>
          <cell r="Y58">
            <v>0</v>
          </cell>
          <cell r="Z58">
            <v>0</v>
          </cell>
          <cell r="AA58">
            <v>1</v>
          </cell>
          <cell r="AB58">
            <v>1</v>
          </cell>
          <cell r="AC58">
            <v>1</v>
          </cell>
          <cell r="AD58">
            <v>1</v>
          </cell>
          <cell r="AE58">
            <v>1</v>
          </cell>
          <cell r="AF58">
            <v>1</v>
          </cell>
          <cell r="AG58">
            <v>1</v>
          </cell>
          <cell r="AH58">
            <v>1</v>
          </cell>
          <cell r="AI58">
            <v>1</v>
          </cell>
          <cell r="AJ58">
            <v>1</v>
          </cell>
          <cell r="AK58">
            <v>1</v>
          </cell>
          <cell r="AL58">
            <v>1</v>
          </cell>
          <cell r="AM58">
            <v>1</v>
          </cell>
          <cell r="AN58">
            <v>1</v>
          </cell>
          <cell r="AO58">
            <v>0</v>
          </cell>
          <cell r="AP58">
            <v>1</v>
          </cell>
          <cell r="AQ58">
            <v>1</v>
          </cell>
          <cell r="AR58">
            <v>0</v>
          </cell>
          <cell r="AS58">
            <v>1</v>
          </cell>
          <cell r="AT58">
            <v>1</v>
          </cell>
          <cell r="AU58">
            <v>0</v>
          </cell>
          <cell r="AV58">
            <v>0</v>
          </cell>
          <cell r="AW58">
            <v>0</v>
          </cell>
          <cell r="AX58">
            <v>0</v>
          </cell>
          <cell r="AY58">
            <v>24</v>
          </cell>
          <cell r="AZ58">
            <v>11</v>
          </cell>
          <cell r="BA58">
            <v>13</v>
          </cell>
          <cell r="BB58">
            <v>22</v>
          </cell>
          <cell r="BC58"/>
          <cell r="BE58"/>
          <cell r="BF58">
            <v>0</v>
          </cell>
          <cell r="BG58">
            <v>0</v>
          </cell>
          <cell r="BH58">
            <v>1</v>
          </cell>
          <cell r="BI58">
            <v>0</v>
          </cell>
          <cell r="BJ58">
            <v>0</v>
          </cell>
          <cell r="BK58">
            <v>0</v>
          </cell>
          <cell r="BL58">
            <v>0</v>
          </cell>
          <cell r="BM58">
            <v>1</v>
          </cell>
          <cell r="BN58">
            <v>1</v>
          </cell>
          <cell r="BO58">
            <v>0</v>
          </cell>
          <cell r="BP58">
            <v>0</v>
          </cell>
          <cell r="BQ58">
            <v>0</v>
          </cell>
          <cell r="BR58">
            <v>0</v>
          </cell>
          <cell r="BS58">
            <v>0</v>
          </cell>
          <cell r="BT58">
            <v>0</v>
          </cell>
          <cell r="BU58">
            <v>0</v>
          </cell>
          <cell r="BV58">
            <v>1</v>
          </cell>
          <cell r="BW58">
            <v>1</v>
          </cell>
          <cell r="BX58">
            <v>0</v>
          </cell>
          <cell r="BY58">
            <v>1</v>
          </cell>
          <cell r="BZ58">
            <v>0</v>
          </cell>
          <cell r="CA58">
            <v>1</v>
          </cell>
          <cell r="CB58">
            <v>0</v>
          </cell>
          <cell r="CC58">
            <v>0</v>
          </cell>
          <cell r="CD58">
            <v>0</v>
          </cell>
          <cell r="CE58">
            <v>0</v>
          </cell>
          <cell r="CF58">
            <v>0</v>
          </cell>
          <cell r="CG58">
            <v>0</v>
          </cell>
          <cell r="CH58">
            <v>0</v>
          </cell>
          <cell r="CI58">
            <v>0</v>
          </cell>
          <cell r="CJ58">
            <v>0</v>
          </cell>
          <cell r="CK58">
            <v>0</v>
          </cell>
          <cell r="CL58">
            <v>1</v>
          </cell>
          <cell r="CM58">
            <v>0</v>
          </cell>
          <cell r="CN58">
            <v>0</v>
          </cell>
          <cell r="CO58">
            <v>8</v>
          </cell>
          <cell r="CP58">
            <v>27</v>
          </cell>
        </row>
        <row r="59">
          <cell r="E59" t="str">
            <v>MTA00101-10100034</v>
          </cell>
          <cell r="F59" t="str">
            <v>MM.VICTORIA FANINDO</v>
          </cell>
          <cell r="G59">
            <v>45822259.265451394</v>
          </cell>
          <cell r="H59">
            <v>40523048.522453703</v>
          </cell>
          <cell r="I59" t="str">
            <v>BASELINE DIBAWAH AVG 2025</v>
          </cell>
          <cell r="J59">
            <v>51776112.056874998</v>
          </cell>
          <cell r="K59">
            <v>26123796.332499988</v>
          </cell>
          <cell r="L59" t="str">
            <v>DIBAWAH BASELINE</v>
          </cell>
          <cell r="P59">
            <v>0</v>
          </cell>
          <cell r="Q59">
            <v>1</v>
          </cell>
          <cell r="R59">
            <v>1</v>
          </cell>
          <cell r="S59">
            <v>1</v>
          </cell>
          <cell r="T59">
            <v>0</v>
          </cell>
          <cell r="U59">
            <v>0</v>
          </cell>
          <cell r="V59">
            <v>1</v>
          </cell>
          <cell r="W59">
            <v>1</v>
          </cell>
          <cell r="X59">
            <v>1</v>
          </cell>
          <cell r="Y59">
            <v>1</v>
          </cell>
          <cell r="Z59">
            <v>1</v>
          </cell>
          <cell r="AA59">
            <v>1</v>
          </cell>
          <cell r="AB59">
            <v>1</v>
          </cell>
          <cell r="AC59">
            <v>1</v>
          </cell>
          <cell r="AD59">
            <v>1</v>
          </cell>
          <cell r="AE59">
            <v>1</v>
          </cell>
          <cell r="AF59">
            <v>1</v>
          </cell>
          <cell r="AG59">
            <v>1</v>
          </cell>
          <cell r="AH59">
            <v>1</v>
          </cell>
          <cell r="AI59">
            <v>1</v>
          </cell>
          <cell r="AJ59">
            <v>1</v>
          </cell>
          <cell r="AK59">
            <v>1</v>
          </cell>
          <cell r="AL59">
            <v>1</v>
          </cell>
          <cell r="AM59">
            <v>1</v>
          </cell>
          <cell r="AN59">
            <v>1</v>
          </cell>
          <cell r="AO59">
            <v>0</v>
          </cell>
          <cell r="AP59">
            <v>0</v>
          </cell>
          <cell r="AQ59">
            <v>1</v>
          </cell>
          <cell r="AR59">
            <v>1</v>
          </cell>
          <cell r="AS59">
            <v>1</v>
          </cell>
          <cell r="AT59">
            <v>1</v>
          </cell>
          <cell r="AU59">
            <v>0</v>
          </cell>
          <cell r="AV59">
            <v>0</v>
          </cell>
          <cell r="AW59">
            <v>0</v>
          </cell>
          <cell r="AX59">
            <v>0</v>
          </cell>
          <cell r="AY59">
            <v>26</v>
          </cell>
          <cell r="AZ59">
            <v>9</v>
          </cell>
          <cell r="BA59">
            <v>15</v>
          </cell>
          <cell r="BB59">
            <v>20</v>
          </cell>
          <cell r="BC59"/>
          <cell r="BE59"/>
          <cell r="BF59">
            <v>0</v>
          </cell>
          <cell r="BG59">
            <v>1</v>
          </cell>
          <cell r="BH59">
            <v>0</v>
          </cell>
          <cell r="BI59">
            <v>1</v>
          </cell>
          <cell r="BJ59">
            <v>0</v>
          </cell>
          <cell r="BK59">
            <v>0</v>
          </cell>
          <cell r="BL59">
            <v>0</v>
          </cell>
          <cell r="BM59">
            <v>0</v>
          </cell>
          <cell r="BN59">
            <v>0</v>
          </cell>
          <cell r="BO59">
            <v>0</v>
          </cell>
          <cell r="BP59">
            <v>0</v>
          </cell>
          <cell r="BQ59">
            <v>1</v>
          </cell>
          <cell r="BR59">
            <v>1</v>
          </cell>
          <cell r="BS59">
            <v>0</v>
          </cell>
          <cell r="BT59">
            <v>1</v>
          </cell>
          <cell r="BU59">
            <v>0</v>
          </cell>
          <cell r="BV59">
            <v>0</v>
          </cell>
          <cell r="BW59">
            <v>0</v>
          </cell>
          <cell r="BX59">
            <v>0</v>
          </cell>
          <cell r="BY59">
            <v>1</v>
          </cell>
          <cell r="BZ59">
            <v>0</v>
          </cell>
          <cell r="CA59">
            <v>1</v>
          </cell>
          <cell r="CB59">
            <v>0</v>
          </cell>
          <cell r="CC59">
            <v>0</v>
          </cell>
          <cell r="CD59">
            <v>0</v>
          </cell>
          <cell r="CE59">
            <v>1</v>
          </cell>
          <cell r="CF59">
            <v>0</v>
          </cell>
          <cell r="CG59">
            <v>0</v>
          </cell>
          <cell r="CH59">
            <v>0</v>
          </cell>
          <cell r="CI59">
            <v>0</v>
          </cell>
          <cell r="CJ59">
            <v>0</v>
          </cell>
          <cell r="CK59">
            <v>1</v>
          </cell>
          <cell r="CL59">
            <v>1</v>
          </cell>
          <cell r="CM59">
            <v>0</v>
          </cell>
          <cell r="CN59">
            <v>0</v>
          </cell>
          <cell r="CO59">
            <v>10</v>
          </cell>
          <cell r="CP59">
            <v>25</v>
          </cell>
        </row>
        <row r="60">
          <cell r="E60" t="str">
            <v>MTA00101-10100036</v>
          </cell>
          <cell r="F60" t="str">
            <v>MM.VICTORIA TIBAN</v>
          </cell>
          <cell r="G60">
            <v>18473451.126449656</v>
          </cell>
          <cell r="H60">
            <v>18511789.952934027</v>
          </cell>
          <cell r="I60" t="str">
            <v>MAINTAIN</v>
          </cell>
          <cell r="J60">
            <v>22080480.092517365</v>
          </cell>
          <cell r="K60">
            <v>-8108.1145833333403</v>
          </cell>
          <cell r="L60" t="str">
            <v>BELUM TRANSAKSI</v>
          </cell>
          <cell r="P60">
            <v>0</v>
          </cell>
          <cell r="Q60">
            <v>1</v>
          </cell>
          <cell r="R60">
            <v>1</v>
          </cell>
          <cell r="S60">
            <v>1</v>
          </cell>
          <cell r="T60">
            <v>1</v>
          </cell>
          <cell r="U60">
            <v>1</v>
          </cell>
          <cell r="V60">
            <v>1</v>
          </cell>
          <cell r="W60">
            <v>1</v>
          </cell>
          <cell r="X60">
            <v>1</v>
          </cell>
          <cell r="Y60">
            <v>1</v>
          </cell>
          <cell r="Z60">
            <v>1</v>
          </cell>
          <cell r="AA60">
            <v>1</v>
          </cell>
          <cell r="AB60">
            <v>1</v>
          </cell>
          <cell r="AC60">
            <v>1</v>
          </cell>
          <cell r="AD60">
            <v>1</v>
          </cell>
          <cell r="AE60">
            <v>1</v>
          </cell>
          <cell r="AF60">
            <v>1</v>
          </cell>
          <cell r="AG60">
            <v>1</v>
          </cell>
          <cell r="AH60">
            <v>1</v>
          </cell>
          <cell r="AI60">
            <v>1</v>
          </cell>
          <cell r="AJ60">
            <v>1</v>
          </cell>
          <cell r="AK60">
            <v>1</v>
          </cell>
          <cell r="AL60">
            <v>1</v>
          </cell>
          <cell r="AM60">
            <v>1</v>
          </cell>
          <cell r="AN60">
            <v>1</v>
          </cell>
          <cell r="AO60">
            <v>0</v>
          </cell>
          <cell r="AP60">
            <v>0</v>
          </cell>
          <cell r="AQ60">
            <v>1</v>
          </cell>
          <cell r="AR60">
            <v>1</v>
          </cell>
          <cell r="AS60">
            <v>1</v>
          </cell>
          <cell r="AT60">
            <v>1</v>
          </cell>
          <cell r="AU60">
            <v>0</v>
          </cell>
          <cell r="AV60">
            <v>0</v>
          </cell>
          <cell r="AW60">
            <v>0</v>
          </cell>
          <cell r="AX60">
            <v>0</v>
          </cell>
          <cell r="AY60">
            <v>28</v>
          </cell>
          <cell r="AZ60">
            <v>7</v>
          </cell>
          <cell r="BA60">
            <v>11</v>
          </cell>
          <cell r="BB60">
            <v>24</v>
          </cell>
          <cell r="BC60"/>
          <cell r="BE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35</v>
          </cell>
        </row>
        <row r="61">
          <cell r="E61" t="str">
            <v>MTA00101-10100055</v>
          </cell>
          <cell r="F61" t="str">
            <v>MM.YOSS MART</v>
          </cell>
          <cell r="G61">
            <v>1570179.9884635415</v>
          </cell>
          <cell r="H61">
            <v>1400019.8215914352</v>
          </cell>
          <cell r="I61" t="str">
            <v>BASELINE DIBAWAH AVG 2025</v>
          </cell>
          <cell r="J61">
            <v>1640120.0709375003</v>
          </cell>
          <cell r="K61">
            <v>1936575.1246875003</v>
          </cell>
          <cell r="L61" t="str">
            <v>OK</v>
          </cell>
          <cell r="P61">
            <v>0</v>
          </cell>
          <cell r="Q61">
            <v>0</v>
          </cell>
          <cell r="R61">
            <v>0</v>
          </cell>
          <cell r="S61">
            <v>0</v>
          </cell>
          <cell r="T61">
            <v>0</v>
          </cell>
          <cell r="U61">
            <v>0</v>
          </cell>
          <cell r="V61">
            <v>0</v>
          </cell>
          <cell r="W61">
            <v>1</v>
          </cell>
          <cell r="X61">
            <v>1</v>
          </cell>
          <cell r="Y61">
            <v>0</v>
          </cell>
          <cell r="Z61">
            <v>0</v>
          </cell>
          <cell r="AA61">
            <v>1</v>
          </cell>
          <cell r="AB61">
            <v>0</v>
          </cell>
          <cell r="AC61">
            <v>0</v>
          </cell>
          <cell r="AD61">
            <v>0</v>
          </cell>
          <cell r="AE61">
            <v>0</v>
          </cell>
          <cell r="AF61">
            <v>0</v>
          </cell>
          <cell r="AG61">
            <v>1</v>
          </cell>
          <cell r="AH61">
            <v>0</v>
          </cell>
          <cell r="AI61">
            <v>1</v>
          </cell>
          <cell r="AJ61">
            <v>1</v>
          </cell>
          <cell r="AK61">
            <v>1</v>
          </cell>
          <cell r="AL61">
            <v>1</v>
          </cell>
          <cell r="AM61">
            <v>1</v>
          </cell>
          <cell r="AN61">
            <v>0</v>
          </cell>
          <cell r="AO61">
            <v>0</v>
          </cell>
          <cell r="AP61">
            <v>0</v>
          </cell>
          <cell r="AQ61">
            <v>1</v>
          </cell>
          <cell r="AR61">
            <v>0</v>
          </cell>
          <cell r="AS61">
            <v>1</v>
          </cell>
          <cell r="AT61">
            <v>0</v>
          </cell>
          <cell r="AU61">
            <v>0</v>
          </cell>
          <cell r="AV61">
            <v>0</v>
          </cell>
          <cell r="AW61">
            <v>0</v>
          </cell>
          <cell r="AX61">
            <v>0</v>
          </cell>
          <cell r="AY61">
            <v>11</v>
          </cell>
          <cell r="AZ61">
            <v>24</v>
          </cell>
          <cell r="BA61">
            <v>7</v>
          </cell>
          <cell r="BB61">
            <v>28</v>
          </cell>
          <cell r="BC61"/>
          <cell r="BE61"/>
          <cell r="BF61">
            <v>0</v>
          </cell>
          <cell r="BG61">
            <v>0</v>
          </cell>
          <cell r="BH61">
            <v>0</v>
          </cell>
          <cell r="BI61">
            <v>0</v>
          </cell>
          <cell r="BJ61">
            <v>0</v>
          </cell>
          <cell r="BK61">
            <v>0</v>
          </cell>
          <cell r="BL61">
            <v>0</v>
          </cell>
          <cell r="BM61">
            <v>0</v>
          </cell>
          <cell r="BN61">
            <v>1</v>
          </cell>
          <cell r="BO61">
            <v>0</v>
          </cell>
          <cell r="BP61">
            <v>0</v>
          </cell>
          <cell r="BQ61">
            <v>1</v>
          </cell>
          <cell r="BR61">
            <v>0</v>
          </cell>
          <cell r="BS61">
            <v>0</v>
          </cell>
          <cell r="BT61">
            <v>0</v>
          </cell>
          <cell r="BU61">
            <v>0</v>
          </cell>
          <cell r="BV61">
            <v>0</v>
          </cell>
          <cell r="BW61">
            <v>0</v>
          </cell>
          <cell r="BX61">
            <v>0</v>
          </cell>
          <cell r="BY61">
            <v>1</v>
          </cell>
          <cell r="BZ61">
            <v>0</v>
          </cell>
          <cell r="CA61">
            <v>0</v>
          </cell>
          <cell r="CB61">
            <v>1</v>
          </cell>
          <cell r="CC61">
            <v>1</v>
          </cell>
          <cell r="CD61">
            <v>1</v>
          </cell>
          <cell r="CE61">
            <v>1</v>
          </cell>
          <cell r="CF61">
            <v>0</v>
          </cell>
          <cell r="CG61">
            <v>0</v>
          </cell>
          <cell r="CH61">
            <v>0</v>
          </cell>
          <cell r="CI61">
            <v>1</v>
          </cell>
          <cell r="CJ61">
            <v>0</v>
          </cell>
          <cell r="CK61">
            <v>0</v>
          </cell>
          <cell r="CL61">
            <v>0</v>
          </cell>
          <cell r="CM61">
            <v>0</v>
          </cell>
          <cell r="CN61">
            <v>0</v>
          </cell>
          <cell r="CO61">
            <v>8</v>
          </cell>
          <cell r="CP61">
            <v>27</v>
          </cell>
        </row>
        <row r="62">
          <cell r="E62"/>
          <cell r="F62"/>
          <cell r="G62"/>
          <cell r="H62"/>
          <cell r="I62"/>
          <cell r="J62"/>
          <cell r="K62"/>
          <cell r="L62" t="str">
            <v>BELUM TRANSAKSI</v>
          </cell>
          <cell r="P62">
            <v>10</v>
          </cell>
          <cell r="Q62">
            <v>31</v>
          </cell>
          <cell r="R62">
            <v>29</v>
          </cell>
          <cell r="S62">
            <v>33</v>
          </cell>
          <cell r="T62">
            <v>22</v>
          </cell>
          <cell r="U62">
            <v>6</v>
          </cell>
          <cell r="V62">
            <v>12</v>
          </cell>
          <cell r="W62">
            <v>52</v>
          </cell>
          <cell r="X62">
            <v>3</v>
          </cell>
          <cell r="Y62">
            <v>14</v>
          </cell>
          <cell r="Z62">
            <v>14</v>
          </cell>
          <cell r="AA62">
            <v>39</v>
          </cell>
          <cell r="AB62">
            <v>34</v>
          </cell>
          <cell r="AC62">
            <v>25</v>
          </cell>
          <cell r="AD62">
            <v>53</v>
          </cell>
          <cell r="AE62">
            <v>22</v>
          </cell>
          <cell r="AF62">
            <v>45</v>
          </cell>
          <cell r="AG62">
            <v>54</v>
          </cell>
          <cell r="AH62">
            <v>54</v>
          </cell>
          <cell r="AI62">
            <v>56</v>
          </cell>
          <cell r="AJ62">
            <v>56</v>
          </cell>
          <cell r="AK62">
            <v>37</v>
          </cell>
          <cell r="AL62">
            <v>55</v>
          </cell>
          <cell r="AM62">
            <v>56</v>
          </cell>
          <cell r="AN62">
            <v>26</v>
          </cell>
          <cell r="AO62">
            <v>10</v>
          </cell>
          <cell r="AP62">
            <v>17</v>
          </cell>
          <cell r="AQ62">
            <v>54</v>
          </cell>
          <cell r="AR62">
            <v>27</v>
          </cell>
          <cell r="AS62">
            <v>46</v>
          </cell>
          <cell r="AT62">
            <v>40</v>
          </cell>
          <cell r="AU62">
            <v>10</v>
          </cell>
          <cell r="AV62">
            <v>0</v>
          </cell>
          <cell r="AW62">
            <v>0</v>
          </cell>
          <cell r="AX62">
            <v>0</v>
          </cell>
          <cell r="AY62">
            <v>57</v>
          </cell>
          <cell r="AZ62"/>
          <cell r="BA62">
            <v>56</v>
          </cell>
          <cell r="BB62"/>
          <cell r="BC62"/>
          <cell r="BF62">
            <v>0</v>
          </cell>
          <cell r="BG62">
            <v>17</v>
          </cell>
          <cell r="BH62">
            <v>8</v>
          </cell>
          <cell r="BI62">
            <v>10</v>
          </cell>
          <cell r="BJ62">
            <v>2</v>
          </cell>
          <cell r="BK62">
            <v>0</v>
          </cell>
          <cell r="BL62">
            <v>0</v>
          </cell>
          <cell r="BM62">
            <v>33</v>
          </cell>
          <cell r="BN62">
            <v>26</v>
          </cell>
          <cell r="BO62">
            <v>0</v>
          </cell>
          <cell r="BP62">
            <v>1</v>
          </cell>
          <cell r="BQ62">
            <v>17</v>
          </cell>
          <cell r="BR62">
            <v>8</v>
          </cell>
          <cell r="BS62">
            <v>5</v>
          </cell>
          <cell r="BT62">
            <v>19</v>
          </cell>
          <cell r="BU62">
            <v>1</v>
          </cell>
          <cell r="BV62">
            <v>17</v>
          </cell>
          <cell r="BW62">
            <v>25</v>
          </cell>
          <cell r="BX62">
            <v>28</v>
          </cell>
          <cell r="BY62">
            <v>32</v>
          </cell>
          <cell r="BZ62">
            <v>0</v>
          </cell>
          <cell r="CA62">
            <v>36</v>
          </cell>
          <cell r="CB62">
            <v>30</v>
          </cell>
          <cell r="CC62">
            <v>8</v>
          </cell>
          <cell r="CD62">
            <v>38</v>
          </cell>
          <cell r="CE62">
            <v>30</v>
          </cell>
          <cell r="CF62">
            <v>1</v>
          </cell>
          <cell r="CG62">
            <v>1</v>
          </cell>
          <cell r="CH62">
            <v>2</v>
          </cell>
          <cell r="CI62">
            <v>18</v>
          </cell>
          <cell r="CJ62">
            <v>10</v>
          </cell>
          <cell r="CK62">
            <v>1</v>
          </cell>
          <cell r="CL62">
            <v>15</v>
          </cell>
          <cell r="CM62">
            <v>13</v>
          </cell>
          <cell r="CN62">
            <v>3</v>
          </cell>
          <cell r="CO62">
            <v>49</v>
          </cell>
          <cell r="CP62"/>
        </row>
        <row r="63">
          <cell r="E63"/>
          <cell r="F63"/>
          <cell r="G63"/>
          <cell r="H63"/>
          <cell r="I63"/>
          <cell r="J63"/>
          <cell r="K63"/>
          <cell r="L63" t="str">
            <v>BELUM TRANSAKSI</v>
          </cell>
          <cell r="P63"/>
          <cell r="Q63"/>
          <cell r="R63"/>
          <cell r="S63"/>
          <cell r="T63"/>
          <cell r="U63"/>
          <cell r="V63"/>
          <cell r="W63"/>
          <cell r="BI63"/>
          <cell r="BJ63"/>
          <cell r="BK63"/>
          <cell r="BL63"/>
          <cell r="BM63"/>
          <cell r="BN63"/>
          <cell r="BO63"/>
          <cell r="BP63"/>
        </row>
        <row r="64">
          <cell r="E64"/>
          <cell r="F64"/>
          <cell r="G64"/>
          <cell r="H64"/>
          <cell r="I64"/>
          <cell r="J64"/>
          <cell r="K64"/>
          <cell r="L64" t="str">
            <v>BELUM TRANSAKSI</v>
          </cell>
          <cell r="P64"/>
          <cell r="Q64"/>
          <cell r="R64"/>
          <cell r="S64"/>
          <cell r="T64"/>
          <cell r="U64"/>
          <cell r="V64"/>
          <cell r="W64"/>
          <cell r="BI64"/>
          <cell r="BJ64"/>
          <cell r="BK64"/>
          <cell r="BL64"/>
          <cell r="BM64"/>
          <cell r="BN64"/>
          <cell r="BO64"/>
          <cell r="BP64"/>
        </row>
        <row r="65">
          <cell r="E65"/>
          <cell r="F65"/>
          <cell r="G65"/>
          <cell r="H65"/>
          <cell r="I65"/>
          <cell r="J65"/>
          <cell r="K65"/>
          <cell r="L65" t="str">
            <v>BELUM TRANSAKSI</v>
          </cell>
          <cell r="P65"/>
          <cell r="Q65"/>
          <cell r="R65"/>
          <cell r="S65"/>
          <cell r="T65"/>
          <cell r="U65"/>
          <cell r="V65"/>
          <cell r="W65"/>
          <cell r="BI65"/>
          <cell r="BJ65"/>
          <cell r="BK65"/>
          <cell r="BL65"/>
          <cell r="BM65"/>
          <cell r="BN65"/>
          <cell r="BO65"/>
          <cell r="BP65"/>
        </row>
        <row r="66">
          <cell r="E66"/>
          <cell r="F66"/>
          <cell r="G66"/>
          <cell r="H66"/>
          <cell r="I66"/>
          <cell r="J66"/>
          <cell r="K66"/>
          <cell r="L66" t="str">
            <v>BELUM TRANSAKSI</v>
          </cell>
          <cell r="P66"/>
          <cell r="Q66"/>
          <cell r="R66"/>
          <cell r="S66"/>
          <cell r="T66"/>
          <cell r="U66"/>
          <cell r="V66"/>
          <cell r="W66"/>
          <cell r="BI66"/>
          <cell r="BJ66"/>
          <cell r="BK66"/>
          <cell r="BL66"/>
          <cell r="BM66"/>
          <cell r="BN66"/>
          <cell r="BO66"/>
          <cell r="BP66"/>
        </row>
        <row r="67">
          <cell r="E67"/>
          <cell r="F67"/>
          <cell r="G67"/>
          <cell r="H67"/>
          <cell r="I67"/>
          <cell r="J67"/>
          <cell r="K67"/>
          <cell r="L67" t="str">
            <v>BELUM TRANSAKSI</v>
          </cell>
          <cell r="P67"/>
          <cell r="Q67"/>
          <cell r="R67"/>
          <cell r="S67"/>
          <cell r="T67"/>
          <cell r="U67"/>
          <cell r="V67"/>
          <cell r="W67"/>
          <cell r="BI67"/>
          <cell r="BJ67"/>
          <cell r="BK67"/>
          <cell r="BL67"/>
          <cell r="BM67"/>
          <cell r="BN67"/>
          <cell r="BO67"/>
          <cell r="BP67"/>
        </row>
        <row r="68">
          <cell r="E68"/>
          <cell r="F68"/>
          <cell r="G68"/>
          <cell r="H68"/>
          <cell r="I68"/>
          <cell r="J68"/>
          <cell r="K68"/>
          <cell r="L68" t="str">
            <v>BELUM TRANSAKSI</v>
          </cell>
          <cell r="P68"/>
          <cell r="Q68"/>
          <cell r="R68"/>
          <cell r="S68"/>
          <cell r="T68"/>
          <cell r="U68"/>
          <cell r="V68"/>
          <cell r="W68"/>
          <cell r="BI68"/>
          <cell r="BJ68"/>
          <cell r="BK68"/>
          <cell r="BL68"/>
          <cell r="BM68"/>
          <cell r="BN68"/>
          <cell r="BO68"/>
          <cell r="BP68"/>
        </row>
        <row r="69">
          <cell r="E69"/>
          <cell r="F69"/>
          <cell r="G69"/>
          <cell r="H69"/>
          <cell r="I69"/>
          <cell r="J69"/>
          <cell r="K69"/>
          <cell r="L69" t="str">
            <v>BELUM TRANSAKSI</v>
          </cell>
          <cell r="P69"/>
          <cell r="Q69"/>
          <cell r="R69"/>
          <cell r="S69"/>
          <cell r="T69"/>
          <cell r="U69"/>
          <cell r="V69"/>
          <cell r="W69"/>
          <cell r="BI69"/>
          <cell r="BJ69"/>
          <cell r="BK69"/>
          <cell r="BL69"/>
          <cell r="BM69"/>
          <cell r="BN69"/>
          <cell r="BO69"/>
          <cell r="BP69"/>
        </row>
        <row r="70">
          <cell r="E70"/>
          <cell r="F70"/>
          <cell r="G70"/>
          <cell r="H70"/>
          <cell r="I70"/>
          <cell r="J70"/>
          <cell r="K70"/>
          <cell r="L70" t="str">
            <v>BELUM TRANSAKSI</v>
          </cell>
          <cell r="P70"/>
          <cell r="Q70"/>
          <cell r="R70"/>
          <cell r="S70"/>
          <cell r="T70"/>
          <cell r="U70"/>
          <cell r="V70"/>
          <cell r="W70"/>
          <cell r="BI70"/>
          <cell r="BJ70"/>
          <cell r="BK70"/>
          <cell r="BL70"/>
          <cell r="BM70"/>
          <cell r="BN70"/>
          <cell r="BO70"/>
          <cell r="BP70"/>
        </row>
        <row r="71">
          <cell r="E71"/>
          <cell r="F71"/>
          <cell r="G71"/>
          <cell r="H71"/>
          <cell r="I71"/>
          <cell r="J71"/>
          <cell r="K71"/>
          <cell r="L71" t="str">
            <v>BELUM TRANSAKSI</v>
          </cell>
          <cell r="P71"/>
          <cell r="Q71"/>
          <cell r="R71"/>
          <cell r="S71"/>
          <cell r="T71"/>
          <cell r="U71"/>
          <cell r="V71"/>
          <cell r="W71"/>
          <cell r="BI71"/>
          <cell r="BJ71"/>
          <cell r="BK71"/>
          <cell r="BL71"/>
          <cell r="BM71"/>
          <cell r="BN71"/>
          <cell r="BO71"/>
          <cell r="BP71"/>
        </row>
        <row r="72">
          <cell r="E72"/>
          <cell r="F72"/>
          <cell r="G72"/>
          <cell r="H72"/>
          <cell r="I72"/>
          <cell r="J72"/>
          <cell r="K72"/>
          <cell r="L72" t="str">
            <v>BELUM TRANSAKSI</v>
          </cell>
          <cell r="P72"/>
          <cell r="Q72"/>
          <cell r="R72"/>
          <cell r="S72"/>
          <cell r="T72"/>
          <cell r="U72"/>
          <cell r="V72"/>
          <cell r="W72"/>
          <cell r="BI72"/>
          <cell r="BJ72"/>
          <cell r="BK72"/>
          <cell r="BL72"/>
          <cell r="BM72"/>
          <cell r="BN72"/>
          <cell r="BO72"/>
          <cell r="BP72"/>
        </row>
        <row r="73">
          <cell r="E73"/>
          <cell r="F73"/>
          <cell r="G73"/>
          <cell r="H73"/>
          <cell r="I73"/>
          <cell r="J73"/>
          <cell r="K73"/>
          <cell r="L73" t="str">
            <v>BELUM TRANSAKSI</v>
          </cell>
          <cell r="P73"/>
          <cell r="Q73"/>
          <cell r="R73"/>
          <cell r="S73"/>
          <cell r="T73"/>
          <cell r="U73"/>
          <cell r="V73"/>
          <cell r="W73"/>
          <cell r="BI73"/>
          <cell r="BJ73"/>
          <cell r="BK73"/>
          <cell r="BL73"/>
          <cell r="BM73"/>
          <cell r="BN73"/>
          <cell r="BO73"/>
          <cell r="BP73"/>
        </row>
        <row r="74">
          <cell r="E74"/>
          <cell r="F74"/>
          <cell r="G74"/>
          <cell r="H74"/>
          <cell r="I74"/>
          <cell r="J74"/>
          <cell r="K74"/>
          <cell r="L74" t="str">
            <v>BELUM TRANSAKSI</v>
          </cell>
          <cell r="P74"/>
          <cell r="Q74"/>
          <cell r="R74"/>
          <cell r="S74"/>
          <cell r="T74"/>
          <cell r="U74"/>
          <cell r="V74"/>
          <cell r="W74"/>
          <cell r="BI74"/>
          <cell r="BJ74"/>
          <cell r="BK74"/>
          <cell r="BL74"/>
          <cell r="BM74"/>
          <cell r="BN74"/>
          <cell r="BO74"/>
          <cell r="BP74"/>
        </row>
        <row r="75">
          <cell r="E75"/>
          <cell r="F75"/>
          <cell r="G75"/>
          <cell r="H75"/>
          <cell r="I75"/>
          <cell r="J75"/>
          <cell r="K75"/>
          <cell r="L75" t="str">
            <v>BELUM TRANSAKSI</v>
          </cell>
          <cell r="P75"/>
          <cell r="Q75"/>
          <cell r="R75"/>
          <cell r="S75"/>
          <cell r="T75"/>
          <cell r="U75"/>
          <cell r="V75"/>
          <cell r="W75"/>
          <cell r="BI75"/>
          <cell r="BJ75"/>
          <cell r="BK75"/>
          <cell r="BL75"/>
          <cell r="BM75"/>
          <cell r="BN75"/>
          <cell r="BO75"/>
          <cell r="BP75"/>
        </row>
        <row r="76">
          <cell r="E76"/>
          <cell r="F76"/>
          <cell r="G76"/>
          <cell r="H76"/>
          <cell r="I76"/>
          <cell r="J76"/>
          <cell r="K76"/>
          <cell r="L76" t="str">
            <v>BELUM TRANSAKSI</v>
          </cell>
          <cell r="P76"/>
          <cell r="Q76"/>
          <cell r="R76"/>
          <cell r="S76"/>
          <cell r="T76"/>
          <cell r="U76"/>
          <cell r="V76"/>
          <cell r="W76"/>
          <cell r="BI76"/>
          <cell r="BJ76"/>
          <cell r="BK76"/>
          <cell r="BL76"/>
          <cell r="BM76"/>
          <cell r="BN76"/>
          <cell r="BO76"/>
          <cell r="BP76"/>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nismyname" refreshedDate="46072.411979861114" createdVersion="8" refreshedVersion="8" minRefreshableVersion="3" recordCount="5" xr:uid="{B5B0E0AF-BFBA-42FD-A7B9-B4F4810E34DC}">
  <cacheSource type="worksheet">
    <worksheetSource name="Table1"/>
  </cacheSource>
  <cacheFields count="53">
    <cacheField name="account_name" numFmtId="0">
      <sharedItems count="2">
        <s v="Artha Jaya Semesta. PT"/>
        <s v="GRAND TOTAL"/>
      </sharedItems>
    </cacheField>
    <cacheField name="ID PELANGAN LAMA" numFmtId="0">
      <sharedItems count="5">
        <s v="MTB159"/>
        <s v="MTB234"/>
        <s v="MTB249"/>
        <s v="MTB633"/>
        <s v="ALL"/>
      </sharedItems>
    </cacheField>
    <cacheField name="CUSTNO_DIST" numFmtId="0">
      <sharedItems count="5">
        <s v="MTA00101-10100022"/>
        <s v="MTA00101-10100034"/>
        <s v="MTA00101-10100036"/>
        <s v="MTA00101-10100046"/>
        <s v="ALL"/>
      </sharedItems>
    </cacheField>
    <cacheField name="custname_DIST" numFmtId="0">
      <sharedItems count="5">
        <s v="SPM.NEW VICTORIA AVIARI"/>
        <s v="CV.VICTORIA FANINDO"/>
        <s v="MM.VICTORIA TIBAN"/>
        <s v="MM.NEW VICTORIA"/>
        <s v="ALL"/>
      </sharedItems>
    </cacheField>
    <cacheField name="CustGroupDesc" numFmtId="0">
      <sharedItems count="1">
        <s v="KL-VICTORIA"/>
      </sharedItems>
    </cacheField>
    <cacheField name="BODY LOTION 2025" numFmtId="166">
      <sharedItems containsSemiMixedTypes="0" containsString="0" containsNumber="1" minValue="5950181.0749999983" maxValue="63821371.190624975" count="5">
        <n v="28182802.847500056"/>
        <n v="19653790.207499992"/>
        <n v="5950181.0749999983"/>
        <n v="10034597.060624991"/>
        <n v="63821371.190624975"/>
      </sharedItems>
    </cacheField>
    <cacheField name="BODY MIST 2025" numFmtId="166">
      <sharedItems containsSemiMixedTypes="0" containsString="0" containsNumber="1" minValue="-27747.751250000001" maxValue="166486.50750000001"/>
    </cacheField>
    <cacheField name="EMULSION 2025" numFmtId="166">
      <sharedItems containsSemiMixedTypes="0" containsString="0" containsNumber="1" minValue="0" maxValue="608108.109375"/>
    </cacheField>
    <cacheField name="ESSENCE 2025" numFmtId="166">
      <sharedItems containsSemiMixedTypes="0" containsString="0" containsNumber="1" minValue="0" maxValue="918919.04999999993"/>
    </cacheField>
    <cacheField name="EXFOLIATING GEL 2025" numFmtId="166">
      <sharedItems containsSemiMixedTypes="0" containsString="0" containsNumber="1" minValue="642252.59437499999" maxValue="6047210.2612499995"/>
    </cacheField>
    <cacheField name="FACIAL WASH 2025" numFmtId="166">
      <sharedItems containsSemiMixedTypes="0" containsString="0" containsNumber="1" minValue="4014503.2162499991" maxValue="20634407.782499995"/>
    </cacheField>
    <cacheField name="MOISTURIZER 2025" numFmtId="166">
      <sharedItems containsSemiMixedTypes="0" containsString="0" containsNumber="1" minValue="729729.73125000007" maxValue="4986486.4968750002"/>
    </cacheField>
    <cacheField name="PERFUME 2025" numFmtId="166">
      <sharedItems containsSemiMixedTypes="0" containsString="0" containsNumber="1" minValue="0" maxValue="2594594.91"/>
    </cacheField>
    <cacheField name="SABUN CAIR 2025" numFmtId="166">
      <sharedItems containsSemiMixedTypes="0" containsString="0" containsNumber="1" minValue="134446400.014375" maxValue="1153659048.1743734"/>
    </cacheField>
    <cacheField name="SABUN MANDI (144) 2025" numFmtId="166">
      <sharedItems containsSemiMixedTypes="0" containsString="0" containsNumber="1" minValue="48943041.670833334" maxValue="427861969.67812502"/>
    </cacheField>
    <cacheField name="SABUN MANDI (72) 2025" numFmtId="166">
      <sharedItems containsSemiMixedTypes="0" containsString="0" containsNumber="1" minValue="738374.86916666687" maxValue="23942317.484583337"/>
    </cacheField>
    <cacheField name="SABUN MANDI (96) 2025" numFmtId="166">
      <sharedItems containsSemiMixedTypes="0" containsString="0" containsNumber="1" minValue="7323871.1324999984" maxValue="62288713.346249968"/>
    </cacheField>
    <cacheField name="SABUN SCRUB 2025" numFmtId="166">
      <sharedItems containsSemiMixedTypes="0" containsString="0" containsNumber="1" minValue="11407471.033437502" maxValue="92347244.479687512"/>
    </cacheField>
    <cacheField name="SERUM 2025" numFmtId="166">
      <sharedItems containsSemiMixedTypes="0" containsString="0" containsNumber="1" minValue="91891.904999999999" maxValue="1317117.3050000002"/>
    </cacheField>
    <cacheField name="SUNSCREEN 2025" numFmtId="166">
      <sharedItems containsSemiMixedTypes="0" containsString="0" containsNumber="1" minValue="1106756.9625000001" maxValue="9565542.3187499978"/>
    </cacheField>
    <cacheField name="Grand Total 2025" numFmtId="166">
      <sharedItems containsSemiMixedTypes="0" containsString="0" containsNumber="1" minValue="221681413.51739582" maxValue="1870731789.343648" count="5">
        <n v="708852693.41020477"/>
        <n v="549867111.18541491"/>
        <n v="221681413.51739582"/>
        <n v="390330571.23062468"/>
        <n v="1870731789.343648"/>
      </sharedItems>
    </cacheField>
    <cacheField name="BODY LOTION 2024" numFmtId="166">
      <sharedItems containsSemiMixedTypes="0" containsString="0" containsNumber="1" minValue="7190178.104166667" maxValue="73908263.541666672"/>
    </cacheField>
    <cacheField name="BODY MIST 2024" numFmtId="166">
      <sharedItems containsSemiMixedTypes="0" containsString="0" containsNumber="1" minValue="0" maxValue="1276396.5"/>
    </cacheField>
    <cacheField name="EMULSION 2024" numFmtId="166">
      <sharedItems containsSemiMixedTypes="0" containsString="0" containsNumber="1" containsInteger="1" minValue="0" maxValue="0"/>
    </cacheField>
    <cacheField name="ESSENCE 2024" numFmtId="166">
      <sharedItems containsSemiMixedTypes="0" containsString="0" containsNumber="1" containsInteger="1" minValue="0" maxValue="0"/>
    </cacheField>
    <cacheField name="EXFOLIATING GEL 2024" numFmtId="166">
      <sharedItems containsSemiMixedTypes="0" containsString="0" containsNumber="1" minValue="366937.0625" maxValue="5611173.0625"/>
    </cacheField>
    <cacheField name="FACIAL WASH 2024" numFmtId="166">
      <sharedItems containsSemiMixedTypes="0" containsString="0" containsNumber="1" minValue="2622162.375" maxValue="12765136.1875"/>
    </cacheField>
    <cacheField name="MOISTURIZER 2024" numFmtId="166">
      <sharedItems containsSemiMixedTypes="0" containsString="0" containsNumber="1" containsInteger="1" minValue="0" maxValue="0"/>
    </cacheField>
    <cacheField name="PERFUME 2024" numFmtId="166">
      <sharedItems containsSemiMixedTypes="0" containsString="0" containsNumber="1" containsInteger="1" minValue="0" maxValue="0"/>
    </cacheField>
    <cacheField name="SABUN CAIR 2024" numFmtId="166">
      <sharedItems containsSemiMixedTypes="0" containsString="0" containsNumber="1" minValue="174391272.02083337" maxValue="1248680785.6666665"/>
    </cacheField>
    <cacheField name="SABUN MANDI (144) 2024" numFmtId="166">
      <sharedItems containsSemiMixedTypes="0" containsString="0" containsNumber="1" minValue="9006125.3333333321" maxValue="77844137.291666672"/>
    </cacheField>
    <cacheField name="SABUN MANDI (72) 2024" numFmtId="166">
      <sharedItems containsSemiMixedTypes="0" containsString="0" containsNumber="1" minValue="1174054.0833333335" maxValue="28886487.041666664"/>
    </cacheField>
    <cacheField name="SABUN MANDI (96) 2024" numFmtId="166">
      <sharedItems containsSemiMixedTypes="0" containsString="0" containsNumber="1" minValue="9188367.541666666" maxValue="60871808.75"/>
    </cacheField>
    <cacheField name="SABUN SCRUB 2024" numFmtId="166">
      <sharedItems containsSemiMixedTypes="0" containsString="0" containsNumber="1" minValue="17109452.96875" maxValue="122335895.65625"/>
    </cacheField>
    <cacheField name="SERUM 2024" numFmtId="166">
      <sharedItems containsSemiMixedTypes="0" containsString="0" containsNumber="1" containsInteger="1" minValue="0" maxValue="0"/>
    </cacheField>
    <cacheField name="SUNSCREEN 2024" numFmtId="166">
      <sharedItems containsSemiMixedTypes="0" containsString="0" containsNumber="1" containsInteger="1" minValue="0" maxValue="0"/>
    </cacheField>
    <cacheField name="Grand Total 2024" numFmtId="166">
      <sharedItems containsSemiMixedTypes="0" containsString="0" containsNumber="1" minValue="223061611.27083334" maxValue="1632180083.6979165"/>
    </cacheField>
    <cacheField name="GROWTH BODY LOTION" numFmtId="9">
      <sharedItems containsSemiMixedTypes="0" containsString="0" containsNumber="1" minValue="-0.20361389258276064" maxValue="-2.5135416895494367E-2"/>
    </cacheField>
    <cacheField name="GROWTH BODY MIST" numFmtId="9">
      <sharedItems containsSemiMixedTypes="0" containsString="0" containsNumber="1" minValue="-1.2500000112621743" maxValue="0"/>
    </cacheField>
    <cacheField name="GROWTH EMULSION" numFmtId="9">
      <sharedItems containsSemiMixedTypes="0" containsString="0" containsNumber="1" containsInteger="1" minValue="0" maxValue="0"/>
    </cacheField>
    <cacheField name="GROWTH ESSENCE" numFmtId="9">
      <sharedItems containsSemiMixedTypes="0" containsString="0" containsNumber="1" containsInteger="1" minValue="0" maxValue="0"/>
    </cacheField>
    <cacheField name="GROWTH EXFOLIATING GEL" numFmtId="9">
      <sharedItems containsSemiMixedTypes="0" containsString="0" containsNumber="1" minValue="-0.28120867457812337" maxValue="1.1544319197791579"/>
    </cacheField>
    <cacheField name="GROWTH FACIAL WASH" numFmtId="9">
      <sharedItems containsSemiMixedTypes="0" containsString="0" containsNumber="1" minValue="-4.9730618996179365E-2" maxValue="1.1115451296001653"/>
    </cacheField>
    <cacheField name="GROWTH MOISTURIZER" numFmtId="9">
      <sharedItems containsSemiMixedTypes="0" containsString="0" containsNumber="1" containsInteger="1" minValue="0" maxValue="0"/>
    </cacheField>
    <cacheField name="GROWTH PERFUME" numFmtId="9">
      <sharedItems containsSemiMixedTypes="0" containsString="0" containsNumber="1" containsInteger="1" minValue="0" maxValue="0"/>
    </cacheField>
    <cacheField name="GROWTH SABUN CAIR" numFmtId="9">
      <sharedItems containsSemiMixedTypes="0" containsString="0" containsNumber="1" minValue="-0.27439168104231682" maxValue="0.19606935123667357"/>
    </cacheField>
    <cacheField name="GROWTH SABUN MANDI (144)" numFmtId="9">
      <sharedItems containsSemiMixedTypes="0" containsString="0" containsNumber="1" minValue="2.3232746001628746" maxValue="11.914774415868552"/>
    </cacheField>
    <cacheField name="GROWTH SABUN MANDI (72)" numFmtId="9">
      <sharedItems containsSemiMixedTypes="0" containsString="0" containsNumber="1" minValue="-0.7071198326829401" maxValue="0.24401348773753972"/>
    </cacheField>
    <cacheField name="GROWTH SABUN MANDI (96)" numFmtId="9">
      <sharedItems containsSemiMixedTypes="0" containsString="0" containsNumber="1" minValue="-0.43393661222434943" maxValue="0.56561502053877977"/>
    </cacheField>
    <cacheField name="GROWTH SABUN SCRUB" numFmtId="9">
      <sharedItems containsSemiMixedTypes="0" containsString="0" containsNumber="1" minValue="-0.36924412101508708" maxValue="0.19701947893406513"/>
    </cacheField>
    <cacheField name="GROWTH SERUM" numFmtId="9">
      <sharedItems containsSemiMixedTypes="0" containsString="0" containsNumber="1" containsInteger="1" minValue="0" maxValue="0"/>
    </cacheField>
    <cacheField name="GROWTH SUNSCREEN" numFmtId="9">
      <sharedItems containsSemiMixedTypes="0" containsString="0" containsNumber="1" containsInteger="1" minValue="0" maxValue="0"/>
    </cacheField>
    <cacheField name="GROWTH Grand Total" numFmtId="9">
      <sharedItems containsSemiMixedTypes="0" containsString="0" containsNumber="1" minValue="-1.2873396506144386E-2" maxValue="0.5312558184810192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x v="0"/>
    <n v="-27747.751250000001"/>
    <n v="121621.62187500001"/>
    <n v="183783.81"/>
    <n v="3727389.2568750014"/>
    <n v="4014503.2162499991"/>
    <n v="729729.73125000007"/>
    <n v="0"/>
    <n v="473845045.08499956"/>
    <n v="123768129.77145836"/>
    <n v="8744496.46875"/>
    <n v="23355664.739999987"/>
    <n v="40376193.19500003"/>
    <n v="91891.904999999999"/>
    <n v="1739189.5125"/>
    <x v="0"/>
    <n v="35388365.75"/>
    <n v="110991"/>
    <n v="0"/>
    <n v="0"/>
    <n v="3529911.6875"/>
    <n v="4224594.9375"/>
    <n v="0"/>
    <n v="0"/>
    <n v="496920856.70833325"/>
    <n v="23334052"/>
    <n v="13410811.5"/>
    <n v="20064027.208333336"/>
    <n v="57618354.875"/>
    <n v="0"/>
    <n v="0"/>
    <n v="654601965.66666663"/>
    <n v="-0.20361389258276064"/>
    <n v="-1.2500000112621743"/>
    <n v="0"/>
    <n v="0"/>
    <n v="5.5944053805737415E-2"/>
    <n v="-4.9730618996179365E-2"/>
    <n v="0"/>
    <n v="0"/>
    <n v="-4.6437599291345499E-2"/>
    <n v="4.3041850498772503"/>
    <n v="-0.34795172769746263"/>
    <n v="0.16405667204735019"/>
    <n v="-0.29924772613529027"/>
    <n v="0"/>
    <n v="0"/>
    <n v="8.2875901064989321E-2"/>
  </r>
  <r>
    <x v="0"/>
    <x v="1"/>
    <x v="1"/>
    <x v="1"/>
    <x v="0"/>
    <x v="1"/>
    <n v="0"/>
    <n v="243243.24375000002"/>
    <n v="367567.62"/>
    <n v="887027.48999999987"/>
    <n v="5286935.2612500004"/>
    <n v="1824324.328125"/>
    <n v="1297297.4550000001"/>
    <n v="321412367.60937506"/>
    <n v="139937967.69"/>
    <n v="12998907.031666666"/>
    <n v="21475126.348749999"/>
    <n v="20083231.773750015"/>
    <n v="367567.62"/>
    <n v="4031757.5062500006"/>
    <x v="1"/>
    <n v="20160533.625"/>
    <n v="499459.5"/>
    <n v="0"/>
    <n v="0"/>
    <n v="1234054.25"/>
    <n v="2622162.375"/>
    <n v="0"/>
    <n v="0"/>
    <n v="268723855.58333331"/>
    <n v="10835494.541666666"/>
    <n v="11780539.625000002"/>
    <n v="13716735"/>
    <n v="29522689.9375"/>
    <n v="0"/>
    <n v="0"/>
    <n v="359095524.4375"/>
    <n v="-2.5135416895494367E-2"/>
    <n v="-1"/>
    <n v="0"/>
    <n v="0"/>
    <n v="-0.28120867457812337"/>
    <n v="1.0162501421179155"/>
    <n v="0"/>
    <n v="0"/>
    <n v="0.19606935123667357"/>
    <n v="11.914774415868552"/>
    <n v="0.10342203714345244"/>
    <n v="0.56561502053877977"/>
    <n v="-0.31973570781434435"/>
    <n v="0"/>
    <n v="0"/>
    <n v="0.53125581848101922"/>
  </r>
  <r>
    <x v="0"/>
    <x v="2"/>
    <x v="2"/>
    <x v="2"/>
    <x v="0"/>
    <x v="2"/>
    <n v="166486.50750000001"/>
    <n v="243243.24375000002"/>
    <n v="367567.62"/>
    <n v="642252.59437499999"/>
    <n v="4917295.7174999993"/>
    <n v="1337837.840625"/>
    <n v="1297297.4550000001"/>
    <n v="134446400.014375"/>
    <n v="48943041.670833334"/>
    <n v="1460539.1150000002"/>
    <n v="7323871.1324999984"/>
    <n v="11407471.033437502"/>
    <n v="490090.16000000003"/>
    <n v="2687838.3374999999"/>
    <x v="2"/>
    <n v="7190178.104166667"/>
    <n v="665946"/>
    <n v="0"/>
    <n v="0"/>
    <n v="480270.0625"/>
    <n v="2880000.25"/>
    <n v="0"/>
    <n v="0"/>
    <n v="174391272.02083337"/>
    <n v="9006125.3333333321"/>
    <n v="1174054.0833333335"/>
    <n v="9188367.541666666"/>
    <n v="18085397.875"/>
    <n v="0"/>
    <n v="0"/>
    <n v="223061611.27083334"/>
    <n v="-0.17245706729407684"/>
    <n v="-0.74999998873782558"/>
    <n v="0"/>
    <n v="0"/>
    <n v="0.33727384761776613"/>
    <n v="0.70739419814286442"/>
    <n v="0"/>
    <n v="0"/>
    <n v="-0.22905316042242307"/>
    <n v="4.4344171171687012"/>
    <n v="0.24401348773753972"/>
    <n v="-0.20291922375892124"/>
    <n v="-0.36924412101508708"/>
    <n v="0"/>
    <n v="0"/>
    <n v="-6.1875180833412813E-3"/>
  </r>
  <r>
    <x v="0"/>
    <x v="3"/>
    <x v="3"/>
    <x v="3"/>
    <x v="0"/>
    <x v="3"/>
    <n v="0"/>
    <n v="0"/>
    <n v="0"/>
    <n v="790540.91999999993"/>
    <n v="6415673.5874999966"/>
    <n v="1094594.596875"/>
    <n v="0"/>
    <n v="223955235.46562496"/>
    <n v="115212830.54583335"/>
    <n v="738374.86916666687"/>
    <n v="10134051.124999996"/>
    <n v="20480348.477500018"/>
    <n v="367567.62"/>
    <n v="1106756.9625000001"/>
    <x v="3"/>
    <n v="11169186.062499998"/>
    <n v="0"/>
    <n v="0"/>
    <n v="0"/>
    <n v="366937.0625"/>
    <n v="3038378.625"/>
    <n v="0"/>
    <n v="0"/>
    <n v="308644801.35416669"/>
    <n v="34668465.416666664"/>
    <n v="2521081.8333333335"/>
    <n v="17902679"/>
    <n v="17109452.96875"/>
    <n v="0"/>
    <n v="0"/>
    <n v="395420982.32291669"/>
    <n v="-0.10158206654684854"/>
    <n v="0"/>
    <n v="0"/>
    <n v="0"/>
    <n v="1.1544319197791579"/>
    <n v="1.1115451296001653"/>
    <n v="0"/>
    <n v="0"/>
    <n v="-0.27439168104231682"/>
    <n v="2.3232746001628746"/>
    <n v="-0.7071198326829401"/>
    <n v="-0.43393661222434943"/>
    <n v="0.19701947893406513"/>
    <n v="0"/>
    <n v="0"/>
    <n v="-1.2873396506144386E-2"/>
  </r>
  <r>
    <x v="1"/>
    <x v="4"/>
    <x v="4"/>
    <x v="4"/>
    <x v="0"/>
    <x v="4"/>
    <n v="138738.75625000001"/>
    <n v="608108.109375"/>
    <n v="918919.04999999993"/>
    <n v="6047210.2612499995"/>
    <n v="20634407.782499995"/>
    <n v="4986486.4968750002"/>
    <n v="2594594.91"/>
    <n v="1153659048.1743734"/>
    <n v="427861969.67812502"/>
    <n v="23942317.484583337"/>
    <n v="62288713.346249968"/>
    <n v="92347244.479687512"/>
    <n v="1317117.3050000002"/>
    <n v="9565542.3187499978"/>
    <x v="4"/>
    <n v="73908263.541666672"/>
    <n v="1276396.5"/>
    <n v="0"/>
    <n v="0"/>
    <n v="5611173.0625"/>
    <n v="12765136.1875"/>
    <n v="0"/>
    <n v="0"/>
    <n v="1248680785.6666665"/>
    <n v="77844137.291666672"/>
    <n v="28886487.041666664"/>
    <n v="60871808.75"/>
    <n v="122335895.65625"/>
    <n v="0"/>
    <n v="0"/>
    <n v="1632180083.6979165"/>
    <n v="-0.13647854607428422"/>
    <n v="-0.89130434292948935"/>
    <n v="0"/>
    <n v="0"/>
    <n v="7.7708741807319681E-2"/>
    <n v="0.6164659334152518"/>
    <n v="0"/>
    <n v="0"/>
    <n v="-7.6097701336503953E-2"/>
    <n v="4.4963929791528212"/>
    <n v="-0.17115856109300243"/>
    <n v="2.327686042761079E-2"/>
    <n v="-0.24513370352743569"/>
    <n v="0"/>
    <n v="0"/>
    <n v="0.146155260702153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46395C-D845-433C-84CE-24914BE545D7}" name="PivotTable8" cacheId="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7">
  <location ref="T16:X23" firstHeaderRow="1" firstDataRow="2" firstDataCol="2" rowPageCount="3" colPageCount="1"/>
  <pivotFields count="53">
    <pivotField axis="axisPage" compact="0" outline="0" showAll="0">
      <items count="3">
        <item x="0"/>
        <item x="1"/>
        <item t="default"/>
      </items>
    </pivotField>
    <pivotField axis="axisPage" compact="0" outline="0" showAll="0">
      <items count="6">
        <item x="4"/>
        <item x="0"/>
        <item x="1"/>
        <item x="2"/>
        <item x="3"/>
        <item t="default"/>
      </items>
    </pivotField>
    <pivotField axis="axisRow" compact="0" outline="0" showAll="0" defaultSubtotal="0">
      <items count="5">
        <item x="4"/>
        <item x="0"/>
        <item x="1"/>
        <item x="2"/>
        <item x="3"/>
      </items>
    </pivotField>
    <pivotField axis="axisRow" compact="0" outline="0" showAll="0">
      <items count="6">
        <item x="4"/>
        <item x="1"/>
        <item x="3"/>
        <item x="2"/>
        <item x="0"/>
        <item t="default"/>
      </items>
    </pivotField>
    <pivotField axis="axisPage" compact="0" outline="0" showAll="0">
      <items count="2">
        <item x="0"/>
        <item t="default"/>
      </items>
    </pivotField>
    <pivotField compact="0" numFmtId="166" outline="0" showAll="0">
      <items count="6">
        <item x="2"/>
        <item x="3"/>
        <item x="1"/>
        <item x="0"/>
        <item x="4"/>
        <item t="default"/>
      </items>
    </pivotField>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dataField="1" compact="0" numFmtId="166" outline="0" showAll="0"/>
    <pivotField compact="0" numFmtId="166" outline="0" showAll="0"/>
    <pivotField compact="0" numFmtId="166" outline="0" showAll="0"/>
    <pivotField compact="0" numFmtId="166"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dataField="1" compact="0" numFmtId="9" outline="0" showAll="0"/>
    <pivotField compact="0" numFmtId="9" outline="0" showAll="0"/>
    <pivotField compact="0" numFmtId="9" outline="0" showAll="0"/>
    <pivotField compact="0" numFmtId="9" outline="0" showAll="0"/>
  </pivotFields>
  <rowFields count="2">
    <field x="2"/>
    <field x="3"/>
  </rowFields>
  <rowItems count="6">
    <i>
      <x/>
      <x/>
    </i>
    <i>
      <x v="1"/>
      <x v="4"/>
    </i>
    <i>
      <x v="2"/>
      <x v="1"/>
    </i>
    <i>
      <x v="3"/>
      <x v="3"/>
    </i>
    <i>
      <x v="4"/>
      <x v="2"/>
    </i>
    <i t="grand">
      <x/>
    </i>
  </rowItems>
  <colFields count="1">
    <field x="-2"/>
  </colFields>
  <colItems count="3">
    <i>
      <x/>
    </i>
    <i i="1">
      <x v="1"/>
    </i>
    <i i="2">
      <x v="2"/>
    </i>
  </colItems>
  <pageFields count="3">
    <pageField fld="0" hier="-1"/>
    <pageField fld="1" hier="-1"/>
    <pageField fld="4" hier="-1"/>
  </pageFields>
  <dataFields count="3">
    <dataField name="Sum of GROWTH SABUN SCRUB" fld="49" baseField="0" baseItem="0" numFmtId="9"/>
    <dataField name="Sum of SABUN SCRUB 2025" fld="17" baseField="0" baseItem="0" numFmtId="166"/>
    <dataField name="Sum of SABUN SCRUB 2024" fld="33" baseField="0" baseItem="0" numFmtId="166"/>
  </dataFields>
  <chartFormats count="21">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6" format="21" series="1">
      <pivotArea type="data" outline="0" fieldPosition="0">
        <references count="1">
          <reference field="4294967294" count="1" selected="0">
            <x v="0"/>
          </reference>
        </references>
      </pivotArea>
    </chartFormat>
    <chartFormat chart="26" format="22">
      <pivotArea type="data" outline="0" fieldPosition="0">
        <references count="3">
          <reference field="4294967294" count="1" selected="0">
            <x v="0"/>
          </reference>
          <reference field="2" count="1" selected="0">
            <x v="0"/>
          </reference>
          <reference field="3" count="1" selected="0">
            <x v="0"/>
          </reference>
        </references>
      </pivotArea>
    </chartFormat>
    <chartFormat chart="26" format="23">
      <pivotArea type="data" outline="0" fieldPosition="0">
        <references count="3">
          <reference field="4294967294" count="1" selected="0">
            <x v="0"/>
          </reference>
          <reference field="2" count="1" selected="0">
            <x v="1"/>
          </reference>
          <reference field="3" count="1" selected="0">
            <x v="4"/>
          </reference>
        </references>
      </pivotArea>
    </chartFormat>
    <chartFormat chart="26" format="24">
      <pivotArea type="data" outline="0" fieldPosition="0">
        <references count="3">
          <reference field="4294967294" count="1" selected="0">
            <x v="0"/>
          </reference>
          <reference field="2" count="1" selected="0">
            <x v="2"/>
          </reference>
          <reference field="3" count="1" selected="0">
            <x v="1"/>
          </reference>
        </references>
      </pivotArea>
    </chartFormat>
    <chartFormat chart="26" format="25">
      <pivotArea type="data" outline="0" fieldPosition="0">
        <references count="3">
          <reference field="4294967294" count="1" selected="0">
            <x v="0"/>
          </reference>
          <reference field="2" count="1" selected="0">
            <x v="3"/>
          </reference>
          <reference field="3" count="1" selected="0">
            <x v="3"/>
          </reference>
        </references>
      </pivotArea>
    </chartFormat>
    <chartFormat chart="26" format="26">
      <pivotArea type="data" outline="0" fieldPosition="0">
        <references count="3">
          <reference field="4294967294" count="1" selected="0">
            <x v="0"/>
          </reference>
          <reference field="2" count="1" selected="0">
            <x v="4"/>
          </reference>
          <reference field="3" count="1" selected="0">
            <x v="2"/>
          </reference>
        </references>
      </pivotArea>
    </chartFormat>
    <chartFormat chart="26" format="27" series="1">
      <pivotArea type="data" outline="0" fieldPosition="0">
        <references count="1">
          <reference field="4294967294" count="1" selected="0">
            <x v="1"/>
          </reference>
        </references>
      </pivotArea>
    </chartFormat>
    <chartFormat chart="26" format="28">
      <pivotArea type="data" outline="0" fieldPosition="0">
        <references count="3">
          <reference field="4294967294" count="1" selected="0">
            <x v="1"/>
          </reference>
          <reference field="2" count="1" selected="0">
            <x v="0"/>
          </reference>
          <reference field="3" count="1" selected="0">
            <x v="0"/>
          </reference>
        </references>
      </pivotArea>
    </chartFormat>
    <chartFormat chart="26" format="29">
      <pivotArea type="data" outline="0" fieldPosition="0">
        <references count="3">
          <reference field="4294967294" count="1" selected="0">
            <x v="1"/>
          </reference>
          <reference field="2" count="1" selected="0">
            <x v="1"/>
          </reference>
          <reference field="3" count="1" selected="0">
            <x v="4"/>
          </reference>
        </references>
      </pivotArea>
    </chartFormat>
    <chartFormat chart="26" format="30">
      <pivotArea type="data" outline="0" fieldPosition="0">
        <references count="3">
          <reference field="4294967294" count="1" selected="0">
            <x v="1"/>
          </reference>
          <reference field="2" count="1" selected="0">
            <x v="2"/>
          </reference>
          <reference field="3" count="1" selected="0">
            <x v="1"/>
          </reference>
        </references>
      </pivotArea>
    </chartFormat>
    <chartFormat chart="26" format="31">
      <pivotArea type="data" outline="0" fieldPosition="0">
        <references count="3">
          <reference field="4294967294" count="1" selected="0">
            <x v="1"/>
          </reference>
          <reference field="2" count="1" selected="0">
            <x v="3"/>
          </reference>
          <reference field="3" count="1" selected="0">
            <x v="3"/>
          </reference>
        </references>
      </pivotArea>
    </chartFormat>
    <chartFormat chart="26" format="32">
      <pivotArea type="data" outline="0" fieldPosition="0">
        <references count="3">
          <reference field="4294967294" count="1" selected="0">
            <x v="1"/>
          </reference>
          <reference field="2" count="1" selected="0">
            <x v="4"/>
          </reference>
          <reference field="3" count="1" selected="0">
            <x v="2"/>
          </reference>
        </references>
      </pivotArea>
    </chartFormat>
    <chartFormat chart="26" format="33" series="1">
      <pivotArea type="data" outline="0" fieldPosition="0">
        <references count="1">
          <reference field="4294967294" count="1" selected="0">
            <x v="2"/>
          </reference>
        </references>
      </pivotArea>
    </chartFormat>
    <chartFormat chart="26" format="34">
      <pivotArea type="data" outline="0" fieldPosition="0">
        <references count="3">
          <reference field="4294967294" count="1" selected="0">
            <x v="2"/>
          </reference>
          <reference field="2" count="1" selected="0">
            <x v="0"/>
          </reference>
          <reference field="3" count="1" selected="0">
            <x v="0"/>
          </reference>
        </references>
      </pivotArea>
    </chartFormat>
    <chartFormat chart="26" format="35">
      <pivotArea type="data" outline="0" fieldPosition="0">
        <references count="3">
          <reference field="4294967294" count="1" selected="0">
            <x v="2"/>
          </reference>
          <reference field="2" count="1" selected="0">
            <x v="1"/>
          </reference>
          <reference field="3" count="1" selected="0">
            <x v="4"/>
          </reference>
        </references>
      </pivotArea>
    </chartFormat>
    <chartFormat chart="26" format="36">
      <pivotArea type="data" outline="0" fieldPosition="0">
        <references count="3">
          <reference field="4294967294" count="1" selected="0">
            <x v="2"/>
          </reference>
          <reference field="2" count="1" selected="0">
            <x v="2"/>
          </reference>
          <reference field="3" count="1" selected="0">
            <x v="1"/>
          </reference>
        </references>
      </pivotArea>
    </chartFormat>
    <chartFormat chart="26" format="37">
      <pivotArea type="data" outline="0" fieldPosition="0">
        <references count="3">
          <reference field="4294967294" count="1" selected="0">
            <x v="2"/>
          </reference>
          <reference field="2" count="1" selected="0">
            <x v="3"/>
          </reference>
          <reference field="3" count="1" selected="0">
            <x v="3"/>
          </reference>
        </references>
      </pivotArea>
    </chartFormat>
    <chartFormat chart="26" format="38">
      <pivotArea type="data" outline="0" fieldPosition="0">
        <references count="3">
          <reference field="4294967294" count="1" selected="0">
            <x v="2"/>
          </reference>
          <reference field="2" count="1" selected="0">
            <x v="4"/>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8AC95C-A0FB-44EE-9F33-ADDCFA9F03A1}" name="PivotTable7" cacheId="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3">
  <location ref="N16:R23" firstHeaderRow="1" firstDataRow="2" firstDataCol="2" rowPageCount="3" colPageCount="1"/>
  <pivotFields count="53">
    <pivotField axis="axisPage" compact="0" outline="0" showAll="0">
      <items count="3">
        <item x="0"/>
        <item x="1"/>
        <item t="default"/>
      </items>
    </pivotField>
    <pivotField axis="axisPage" compact="0" outline="0" showAll="0">
      <items count="6">
        <item x="4"/>
        <item x="0"/>
        <item x="1"/>
        <item x="2"/>
        <item x="3"/>
        <item t="default"/>
      </items>
    </pivotField>
    <pivotField axis="axisRow" compact="0" outline="0" showAll="0" defaultSubtotal="0">
      <items count="5">
        <item x="4"/>
        <item x="0"/>
        <item x="1"/>
        <item x="2"/>
        <item x="3"/>
      </items>
    </pivotField>
    <pivotField axis="axisRow" compact="0" outline="0" showAll="0">
      <items count="6">
        <item x="4"/>
        <item x="1"/>
        <item x="3"/>
        <item x="2"/>
        <item x="0"/>
        <item t="default"/>
      </items>
    </pivotField>
    <pivotField axis="axisPage" compact="0" outline="0" showAll="0">
      <items count="2">
        <item x="0"/>
        <item t="default"/>
      </items>
    </pivotField>
    <pivotField compact="0" numFmtId="166" outline="0" showAll="0">
      <items count="6">
        <item x="2"/>
        <item x="3"/>
        <item x="1"/>
        <item x="0"/>
        <item x="4"/>
        <item t="default"/>
      </items>
    </pivotField>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dataField="1"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s>
  <rowFields count="2">
    <field x="2"/>
    <field x="3"/>
  </rowFields>
  <rowItems count="6">
    <i>
      <x/>
      <x/>
    </i>
    <i>
      <x v="1"/>
      <x v="4"/>
    </i>
    <i>
      <x v="2"/>
      <x v="1"/>
    </i>
    <i>
      <x v="3"/>
      <x v="3"/>
    </i>
    <i>
      <x v="4"/>
      <x v="2"/>
    </i>
    <i t="grand">
      <x/>
    </i>
  </rowItems>
  <colFields count="1">
    <field x="-2"/>
  </colFields>
  <colItems count="3">
    <i>
      <x/>
    </i>
    <i i="1">
      <x v="1"/>
    </i>
    <i i="2">
      <x v="2"/>
    </i>
  </colItems>
  <pageFields count="3">
    <pageField fld="0" hier="-1"/>
    <pageField fld="1" hier="-1"/>
    <pageField fld="4" hier="-1"/>
  </pageFields>
  <dataFields count="3">
    <dataField name="Sum of GROWTH SABUN CAIR" fld="45" baseField="0" baseItem="0" numFmtId="9"/>
    <dataField name="Sum of SABUN CAIR 2025" fld="13" baseField="0" baseItem="0" numFmtId="166"/>
    <dataField name="Sum of SABUN CAIR 2024" fld="29" baseField="0" baseItem="0" numFmtId="166"/>
  </dataFields>
  <chartFormats count="21">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22" format="21" series="1">
      <pivotArea type="data" outline="0" fieldPosition="0">
        <references count="1">
          <reference field="4294967294" count="1" selected="0">
            <x v="0"/>
          </reference>
        </references>
      </pivotArea>
    </chartFormat>
    <chartFormat chart="22" format="22">
      <pivotArea type="data" outline="0" fieldPosition="0">
        <references count="3">
          <reference field="4294967294" count="1" selected="0">
            <x v="0"/>
          </reference>
          <reference field="2" count="1" selected="0">
            <x v="0"/>
          </reference>
          <reference field="3" count="1" selected="0">
            <x v="0"/>
          </reference>
        </references>
      </pivotArea>
    </chartFormat>
    <chartFormat chart="22" format="23">
      <pivotArea type="data" outline="0" fieldPosition="0">
        <references count="3">
          <reference field="4294967294" count="1" selected="0">
            <x v="0"/>
          </reference>
          <reference field="2" count="1" selected="0">
            <x v="1"/>
          </reference>
          <reference field="3" count="1" selected="0">
            <x v="4"/>
          </reference>
        </references>
      </pivotArea>
    </chartFormat>
    <chartFormat chart="22" format="24">
      <pivotArea type="data" outline="0" fieldPosition="0">
        <references count="3">
          <reference field="4294967294" count="1" selected="0">
            <x v="0"/>
          </reference>
          <reference field="2" count="1" selected="0">
            <x v="2"/>
          </reference>
          <reference field="3" count="1" selected="0">
            <x v="1"/>
          </reference>
        </references>
      </pivotArea>
    </chartFormat>
    <chartFormat chart="22" format="25">
      <pivotArea type="data" outline="0" fieldPosition="0">
        <references count="3">
          <reference field="4294967294" count="1" selected="0">
            <x v="0"/>
          </reference>
          <reference field="2" count="1" selected="0">
            <x v="3"/>
          </reference>
          <reference field="3" count="1" selected="0">
            <x v="3"/>
          </reference>
        </references>
      </pivotArea>
    </chartFormat>
    <chartFormat chart="22" format="26">
      <pivotArea type="data" outline="0" fieldPosition="0">
        <references count="3">
          <reference field="4294967294" count="1" selected="0">
            <x v="0"/>
          </reference>
          <reference field="2" count="1" selected="0">
            <x v="4"/>
          </reference>
          <reference field="3" count="1" selected="0">
            <x v="2"/>
          </reference>
        </references>
      </pivotArea>
    </chartFormat>
    <chartFormat chart="22" format="27" series="1">
      <pivotArea type="data" outline="0" fieldPosition="0">
        <references count="1">
          <reference field="4294967294" count="1" selected="0">
            <x v="1"/>
          </reference>
        </references>
      </pivotArea>
    </chartFormat>
    <chartFormat chart="22" format="28">
      <pivotArea type="data" outline="0" fieldPosition="0">
        <references count="3">
          <reference field="4294967294" count="1" selected="0">
            <x v="1"/>
          </reference>
          <reference field="2" count="1" selected="0">
            <x v="0"/>
          </reference>
          <reference field="3" count="1" selected="0">
            <x v="0"/>
          </reference>
        </references>
      </pivotArea>
    </chartFormat>
    <chartFormat chart="22" format="29">
      <pivotArea type="data" outline="0" fieldPosition="0">
        <references count="3">
          <reference field="4294967294" count="1" selected="0">
            <x v="1"/>
          </reference>
          <reference field="2" count="1" selected="0">
            <x v="1"/>
          </reference>
          <reference field="3" count="1" selected="0">
            <x v="4"/>
          </reference>
        </references>
      </pivotArea>
    </chartFormat>
    <chartFormat chart="22" format="30">
      <pivotArea type="data" outline="0" fieldPosition="0">
        <references count="3">
          <reference field="4294967294" count="1" selected="0">
            <x v="1"/>
          </reference>
          <reference field="2" count="1" selected="0">
            <x v="2"/>
          </reference>
          <reference field="3" count="1" selected="0">
            <x v="1"/>
          </reference>
        </references>
      </pivotArea>
    </chartFormat>
    <chartFormat chart="22" format="31">
      <pivotArea type="data" outline="0" fieldPosition="0">
        <references count="3">
          <reference field="4294967294" count="1" selected="0">
            <x v="1"/>
          </reference>
          <reference field="2" count="1" selected="0">
            <x v="3"/>
          </reference>
          <reference field="3" count="1" selected="0">
            <x v="3"/>
          </reference>
        </references>
      </pivotArea>
    </chartFormat>
    <chartFormat chart="22" format="32">
      <pivotArea type="data" outline="0" fieldPosition="0">
        <references count="3">
          <reference field="4294967294" count="1" selected="0">
            <x v="1"/>
          </reference>
          <reference field="2" count="1" selected="0">
            <x v="4"/>
          </reference>
          <reference field="3" count="1" selected="0">
            <x v="2"/>
          </reference>
        </references>
      </pivotArea>
    </chartFormat>
    <chartFormat chart="22" format="33" series="1">
      <pivotArea type="data" outline="0" fieldPosition="0">
        <references count="1">
          <reference field="4294967294" count="1" selected="0">
            <x v="2"/>
          </reference>
        </references>
      </pivotArea>
    </chartFormat>
    <chartFormat chart="22" format="34">
      <pivotArea type="data" outline="0" fieldPosition="0">
        <references count="3">
          <reference field="4294967294" count="1" selected="0">
            <x v="2"/>
          </reference>
          <reference field="2" count="1" selected="0">
            <x v="0"/>
          </reference>
          <reference field="3" count="1" selected="0">
            <x v="0"/>
          </reference>
        </references>
      </pivotArea>
    </chartFormat>
    <chartFormat chart="22" format="35">
      <pivotArea type="data" outline="0" fieldPosition="0">
        <references count="3">
          <reference field="4294967294" count="1" selected="0">
            <x v="2"/>
          </reference>
          <reference field="2" count="1" selected="0">
            <x v="1"/>
          </reference>
          <reference field="3" count="1" selected="0">
            <x v="4"/>
          </reference>
        </references>
      </pivotArea>
    </chartFormat>
    <chartFormat chart="22" format="36">
      <pivotArea type="data" outline="0" fieldPosition="0">
        <references count="3">
          <reference field="4294967294" count="1" selected="0">
            <x v="2"/>
          </reference>
          <reference field="2" count="1" selected="0">
            <x v="2"/>
          </reference>
          <reference field="3" count="1" selected="0">
            <x v="1"/>
          </reference>
        </references>
      </pivotArea>
    </chartFormat>
    <chartFormat chart="22" format="37">
      <pivotArea type="data" outline="0" fieldPosition="0">
        <references count="3">
          <reference field="4294967294" count="1" selected="0">
            <x v="2"/>
          </reference>
          <reference field="2" count="1" selected="0">
            <x v="3"/>
          </reference>
          <reference field="3" count="1" selected="0">
            <x v="3"/>
          </reference>
        </references>
      </pivotArea>
    </chartFormat>
    <chartFormat chart="22" format="38">
      <pivotArea type="data" outline="0" fieldPosition="0">
        <references count="3">
          <reference field="4294967294" count="1" selected="0">
            <x v="2"/>
          </reference>
          <reference field="2" count="1" selected="0">
            <x v="4"/>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A0484-4462-4D88-99C2-3730A8970B1E}" name="PivotTable6" cacheId="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H16:L23" firstHeaderRow="1" firstDataRow="2" firstDataCol="2" rowPageCount="3" colPageCount="1"/>
  <pivotFields count="53">
    <pivotField axis="axisPage" compact="0" outline="0" showAll="0">
      <items count="3">
        <item x="0"/>
        <item x="1"/>
        <item t="default"/>
      </items>
    </pivotField>
    <pivotField axis="axisPage" compact="0" outline="0" showAll="0">
      <items count="6">
        <item x="4"/>
        <item x="0"/>
        <item x="1"/>
        <item x="2"/>
        <item x="3"/>
        <item t="default"/>
      </items>
    </pivotField>
    <pivotField axis="axisRow" compact="0" outline="0" showAll="0" defaultSubtotal="0">
      <items count="5">
        <item x="4"/>
        <item x="0"/>
        <item x="1"/>
        <item x="2"/>
        <item x="3"/>
      </items>
    </pivotField>
    <pivotField axis="axisRow" compact="0" outline="0" showAll="0">
      <items count="6">
        <item x="4"/>
        <item x="1"/>
        <item x="3"/>
        <item x="2"/>
        <item x="0"/>
        <item t="default"/>
      </items>
    </pivotField>
    <pivotField axis="axisPage" compact="0" outline="0" showAll="0">
      <items count="2">
        <item x="0"/>
        <item t="default"/>
      </items>
    </pivotField>
    <pivotField dataField="1" compact="0" numFmtId="166" outline="0" showAll="0">
      <items count="6">
        <item x="2"/>
        <item x="3"/>
        <item x="1"/>
        <item x="0"/>
        <item x="4"/>
        <item t="default"/>
      </items>
    </pivotField>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dataField="1"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s>
  <rowFields count="2">
    <field x="2"/>
    <field x="3"/>
  </rowFields>
  <rowItems count="6">
    <i>
      <x/>
      <x/>
    </i>
    <i>
      <x v="1"/>
      <x v="4"/>
    </i>
    <i>
      <x v="2"/>
      <x v="1"/>
    </i>
    <i>
      <x v="3"/>
      <x v="3"/>
    </i>
    <i>
      <x v="4"/>
      <x v="2"/>
    </i>
    <i t="grand">
      <x/>
    </i>
  </rowItems>
  <colFields count="1">
    <field x="-2"/>
  </colFields>
  <colItems count="3">
    <i>
      <x/>
    </i>
    <i i="1">
      <x v="1"/>
    </i>
    <i i="2">
      <x v="2"/>
    </i>
  </colItems>
  <pageFields count="3">
    <pageField fld="0" hier="-1"/>
    <pageField fld="1" hier="-1"/>
    <pageField fld="4" hier="-1"/>
  </pageFields>
  <dataFields count="3">
    <dataField name="Sum of GROWTH BODY LOTION" fld="37" baseField="0" baseItem="0" numFmtId="9"/>
    <dataField name="Sum of BODY LOTION 2025" fld="5" baseField="0" baseItem="0" numFmtId="166"/>
    <dataField name="Sum of BODY LOTION 2024" fld="21" baseField="0" baseItem="0" numFmtId="166"/>
  </dataFields>
  <chartFormats count="21">
    <chartFormat chart="14" format="0" series="1">
      <pivotArea type="data" outline="0" fieldPosition="0">
        <references count="1">
          <reference field="4294967294" count="1" selected="0">
            <x v="1"/>
          </reference>
        </references>
      </pivotArea>
    </chartFormat>
    <chartFormat chart="14" format="1" series="1">
      <pivotArea type="data" outline="0" fieldPosition="0">
        <references count="1">
          <reference field="4294967294" count="1" selected="0">
            <x v="2"/>
          </reference>
        </references>
      </pivotArea>
    </chartFormat>
    <chartFormat chart="14" format="2" series="1">
      <pivotArea type="data" outline="0" fieldPosition="0">
        <references count="1">
          <reference field="4294967294" count="1" selected="0">
            <x v="0"/>
          </reference>
        </references>
      </pivotArea>
    </chartFormat>
    <chartFormat chart="17" format="21" series="1">
      <pivotArea type="data" outline="0" fieldPosition="0">
        <references count="1">
          <reference field="4294967294" count="1" selected="0">
            <x v="0"/>
          </reference>
        </references>
      </pivotArea>
    </chartFormat>
    <chartFormat chart="17" format="22">
      <pivotArea type="data" outline="0" fieldPosition="0">
        <references count="3">
          <reference field="4294967294" count="1" selected="0">
            <x v="0"/>
          </reference>
          <reference field="2" count="1" selected="0">
            <x v="0"/>
          </reference>
          <reference field="3" count="1" selected="0">
            <x v="0"/>
          </reference>
        </references>
      </pivotArea>
    </chartFormat>
    <chartFormat chart="17" format="23">
      <pivotArea type="data" outline="0" fieldPosition="0">
        <references count="3">
          <reference field="4294967294" count="1" selected="0">
            <x v="0"/>
          </reference>
          <reference field="2" count="1" selected="0">
            <x v="1"/>
          </reference>
          <reference field="3" count="1" selected="0">
            <x v="4"/>
          </reference>
        </references>
      </pivotArea>
    </chartFormat>
    <chartFormat chart="17" format="24">
      <pivotArea type="data" outline="0" fieldPosition="0">
        <references count="3">
          <reference field="4294967294" count="1" selected="0">
            <x v="0"/>
          </reference>
          <reference field="2" count="1" selected="0">
            <x v="2"/>
          </reference>
          <reference field="3" count="1" selected="0">
            <x v="1"/>
          </reference>
        </references>
      </pivotArea>
    </chartFormat>
    <chartFormat chart="17" format="25">
      <pivotArea type="data" outline="0" fieldPosition="0">
        <references count="3">
          <reference field="4294967294" count="1" selected="0">
            <x v="0"/>
          </reference>
          <reference field="2" count="1" selected="0">
            <x v="3"/>
          </reference>
          <reference field="3" count="1" selected="0">
            <x v="3"/>
          </reference>
        </references>
      </pivotArea>
    </chartFormat>
    <chartFormat chart="17" format="26">
      <pivotArea type="data" outline="0" fieldPosition="0">
        <references count="3">
          <reference field="4294967294" count="1" selected="0">
            <x v="0"/>
          </reference>
          <reference field="2" count="1" selected="0">
            <x v="4"/>
          </reference>
          <reference field="3" count="1" selected="0">
            <x v="2"/>
          </reference>
        </references>
      </pivotArea>
    </chartFormat>
    <chartFormat chart="17" format="27" series="1">
      <pivotArea type="data" outline="0" fieldPosition="0">
        <references count="1">
          <reference field="4294967294" count="1" selected="0">
            <x v="1"/>
          </reference>
        </references>
      </pivotArea>
    </chartFormat>
    <chartFormat chart="17" format="28">
      <pivotArea type="data" outline="0" fieldPosition="0">
        <references count="3">
          <reference field="4294967294" count="1" selected="0">
            <x v="1"/>
          </reference>
          <reference field="2" count="1" selected="0">
            <x v="0"/>
          </reference>
          <reference field="3" count="1" selected="0">
            <x v="0"/>
          </reference>
        </references>
      </pivotArea>
    </chartFormat>
    <chartFormat chart="17" format="29">
      <pivotArea type="data" outline="0" fieldPosition="0">
        <references count="3">
          <reference field="4294967294" count="1" selected="0">
            <x v="1"/>
          </reference>
          <reference field="2" count="1" selected="0">
            <x v="1"/>
          </reference>
          <reference field="3" count="1" selected="0">
            <x v="4"/>
          </reference>
        </references>
      </pivotArea>
    </chartFormat>
    <chartFormat chart="17" format="30">
      <pivotArea type="data" outline="0" fieldPosition="0">
        <references count="3">
          <reference field="4294967294" count="1" selected="0">
            <x v="1"/>
          </reference>
          <reference field="2" count="1" selected="0">
            <x v="2"/>
          </reference>
          <reference field="3" count="1" selected="0">
            <x v="1"/>
          </reference>
        </references>
      </pivotArea>
    </chartFormat>
    <chartFormat chart="17" format="31">
      <pivotArea type="data" outline="0" fieldPosition="0">
        <references count="3">
          <reference field="4294967294" count="1" selected="0">
            <x v="1"/>
          </reference>
          <reference field="2" count="1" selected="0">
            <x v="3"/>
          </reference>
          <reference field="3" count="1" selected="0">
            <x v="3"/>
          </reference>
        </references>
      </pivotArea>
    </chartFormat>
    <chartFormat chart="17" format="32">
      <pivotArea type="data" outline="0" fieldPosition="0">
        <references count="3">
          <reference field="4294967294" count="1" selected="0">
            <x v="1"/>
          </reference>
          <reference field="2" count="1" selected="0">
            <x v="4"/>
          </reference>
          <reference field="3" count="1" selected="0">
            <x v="2"/>
          </reference>
        </references>
      </pivotArea>
    </chartFormat>
    <chartFormat chart="17" format="33" series="1">
      <pivotArea type="data" outline="0" fieldPosition="0">
        <references count="1">
          <reference field="4294967294" count="1" selected="0">
            <x v="2"/>
          </reference>
        </references>
      </pivotArea>
    </chartFormat>
    <chartFormat chart="17" format="34">
      <pivotArea type="data" outline="0" fieldPosition="0">
        <references count="3">
          <reference field="4294967294" count="1" selected="0">
            <x v="2"/>
          </reference>
          <reference field="2" count="1" selected="0">
            <x v="0"/>
          </reference>
          <reference field="3" count="1" selected="0">
            <x v="0"/>
          </reference>
        </references>
      </pivotArea>
    </chartFormat>
    <chartFormat chart="17" format="35">
      <pivotArea type="data" outline="0" fieldPosition="0">
        <references count="3">
          <reference field="4294967294" count="1" selected="0">
            <x v="2"/>
          </reference>
          <reference field="2" count="1" selected="0">
            <x v="1"/>
          </reference>
          <reference field="3" count="1" selected="0">
            <x v="4"/>
          </reference>
        </references>
      </pivotArea>
    </chartFormat>
    <chartFormat chart="17" format="36">
      <pivotArea type="data" outline="0" fieldPosition="0">
        <references count="3">
          <reference field="4294967294" count="1" selected="0">
            <x v="2"/>
          </reference>
          <reference field="2" count="1" selected="0">
            <x v="2"/>
          </reference>
          <reference field="3" count="1" selected="0">
            <x v="1"/>
          </reference>
        </references>
      </pivotArea>
    </chartFormat>
    <chartFormat chart="17" format="37">
      <pivotArea type="data" outline="0" fieldPosition="0">
        <references count="3">
          <reference field="4294967294" count="1" selected="0">
            <x v="2"/>
          </reference>
          <reference field="2" count="1" selected="0">
            <x v="3"/>
          </reference>
          <reference field="3" count="1" selected="0">
            <x v="3"/>
          </reference>
        </references>
      </pivotArea>
    </chartFormat>
    <chartFormat chart="17" format="38">
      <pivotArea type="data" outline="0" fieldPosition="0">
        <references count="3">
          <reference field="4294967294" count="1" selected="0">
            <x v="2"/>
          </reference>
          <reference field="2" count="1" selected="0">
            <x v="4"/>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D5FBC2-51EA-4354-A24B-37326960B0E9}" name="PivotTable4" cacheId="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B16:F23" firstHeaderRow="1" firstDataRow="2" firstDataCol="2" rowPageCount="3" colPageCount="1"/>
  <pivotFields count="53">
    <pivotField axis="axisPage" compact="0" outline="0" showAll="0">
      <items count="3">
        <item x="0"/>
        <item x="1"/>
        <item t="default"/>
      </items>
    </pivotField>
    <pivotField axis="axisPage" compact="0" outline="0" showAll="0">
      <items count="6">
        <item x="4"/>
        <item x="0"/>
        <item x="1"/>
        <item x="2"/>
        <item x="3"/>
        <item t="default"/>
      </items>
    </pivotField>
    <pivotField axis="axisRow" compact="0" outline="0" showAll="0" defaultSubtotal="0">
      <items count="5">
        <item x="4"/>
        <item x="0"/>
        <item x="1"/>
        <item x="2"/>
        <item x="3"/>
      </items>
    </pivotField>
    <pivotField axis="axisRow" compact="0" outline="0" showAll="0">
      <items count="6">
        <item x="4"/>
        <item x="1"/>
        <item x="3"/>
        <item x="2"/>
        <item x="0"/>
        <item t="default"/>
      </items>
    </pivotField>
    <pivotField axis="axisPage" compact="0" outline="0" showAll="0">
      <items count="2">
        <item x="0"/>
        <item t="default"/>
      </items>
    </pivotField>
    <pivotField compact="0" numFmtId="166" outline="0" showAll="0">
      <items count="6">
        <item x="2"/>
        <item x="3"/>
        <item x="1"/>
        <item x="0"/>
        <item x="4"/>
        <item t="default"/>
      </items>
    </pivotField>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dataField="1" compact="0" numFmtId="166"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compact="0" numFmtId="9" outline="0" showAll="0"/>
    <pivotField dataField="1" compact="0" numFmtId="9" outline="0" showAll="0"/>
  </pivotFields>
  <rowFields count="2">
    <field x="2"/>
    <field x="3"/>
  </rowFields>
  <rowItems count="6">
    <i>
      <x/>
      <x/>
    </i>
    <i>
      <x v="1"/>
      <x v="4"/>
    </i>
    <i>
      <x v="2"/>
      <x v="1"/>
    </i>
    <i>
      <x v="3"/>
      <x v="3"/>
    </i>
    <i>
      <x v="4"/>
      <x v="2"/>
    </i>
    <i t="grand">
      <x/>
    </i>
  </rowItems>
  <colFields count="1">
    <field x="-2"/>
  </colFields>
  <colItems count="3">
    <i>
      <x/>
    </i>
    <i i="1">
      <x v="1"/>
    </i>
    <i i="2">
      <x v="2"/>
    </i>
  </colItems>
  <pageFields count="3">
    <pageField fld="0" hier="-1"/>
    <pageField fld="1" hier="-1"/>
    <pageField fld="4" hier="-1"/>
  </pageFields>
  <dataFields count="3">
    <dataField name="Sum of GROWTH Grand Total" fld="52" baseField="0" baseItem="0" numFmtId="9"/>
    <dataField name="Sum of Grand Total 2025" fld="20" baseField="0" baseItem="0" numFmtId="166"/>
    <dataField name="Sum of Grand Total 2024" fld="36" baseField="0" baseItem="0" numFmtId="166"/>
  </dataFields>
  <chartFormats count="36">
    <chartFormat chart="10" format="71" series="1">
      <pivotArea type="data" outline="0" fieldPosition="0">
        <references count="1">
          <reference field="4294967294" count="1" selected="0">
            <x v="0"/>
          </reference>
        </references>
      </pivotArea>
    </chartFormat>
    <chartFormat chart="10" format="72">
      <pivotArea type="data" outline="0" fieldPosition="0">
        <references count="3">
          <reference field="4294967294" count="1" selected="0">
            <x v="0"/>
          </reference>
          <reference field="2" count="1" selected="0">
            <x v="0"/>
          </reference>
          <reference field="3" count="1" selected="0">
            <x v="0"/>
          </reference>
        </references>
      </pivotArea>
    </chartFormat>
    <chartFormat chart="10" format="73">
      <pivotArea type="data" outline="0" fieldPosition="0">
        <references count="3">
          <reference field="4294967294" count="1" selected="0">
            <x v="0"/>
          </reference>
          <reference field="2" count="1" selected="0">
            <x v="1"/>
          </reference>
          <reference field="3" count="1" selected="0">
            <x v="4"/>
          </reference>
        </references>
      </pivotArea>
    </chartFormat>
    <chartFormat chart="10" format="74">
      <pivotArea type="data" outline="0" fieldPosition="0">
        <references count="3">
          <reference field="4294967294" count="1" selected="0">
            <x v="0"/>
          </reference>
          <reference field="2" count="1" selected="0">
            <x v="2"/>
          </reference>
          <reference field="3" count="1" selected="0">
            <x v="1"/>
          </reference>
        </references>
      </pivotArea>
    </chartFormat>
    <chartFormat chart="10" format="75">
      <pivotArea type="data" outline="0" fieldPosition="0">
        <references count="3">
          <reference field="4294967294" count="1" selected="0">
            <x v="0"/>
          </reference>
          <reference field="2" count="1" selected="0">
            <x v="3"/>
          </reference>
          <reference field="3" count="1" selected="0">
            <x v="3"/>
          </reference>
        </references>
      </pivotArea>
    </chartFormat>
    <chartFormat chart="10" format="76">
      <pivotArea type="data" outline="0" fieldPosition="0">
        <references count="3">
          <reference field="4294967294" count="1" selected="0">
            <x v="0"/>
          </reference>
          <reference field="2" count="1" selected="0">
            <x v="4"/>
          </reference>
          <reference field="3" count="1" selected="0">
            <x v="2"/>
          </reference>
        </references>
      </pivotArea>
    </chartFormat>
    <chartFormat chart="10" format="77" series="1">
      <pivotArea type="data" outline="0" fieldPosition="0">
        <references count="1">
          <reference field="4294967294" count="1" selected="0">
            <x v="1"/>
          </reference>
        </references>
      </pivotArea>
    </chartFormat>
    <chartFormat chart="10" format="78">
      <pivotArea type="data" outline="0" fieldPosition="0">
        <references count="3">
          <reference field="4294967294" count="1" selected="0">
            <x v="1"/>
          </reference>
          <reference field="2" count="1" selected="0">
            <x v="0"/>
          </reference>
          <reference field="3" count="1" selected="0">
            <x v="0"/>
          </reference>
        </references>
      </pivotArea>
    </chartFormat>
    <chartFormat chart="10" format="79">
      <pivotArea type="data" outline="0" fieldPosition="0">
        <references count="3">
          <reference field="4294967294" count="1" selected="0">
            <x v="1"/>
          </reference>
          <reference field="2" count="1" selected="0">
            <x v="1"/>
          </reference>
          <reference field="3" count="1" selected="0">
            <x v="4"/>
          </reference>
        </references>
      </pivotArea>
    </chartFormat>
    <chartFormat chart="10" format="80">
      <pivotArea type="data" outline="0" fieldPosition="0">
        <references count="3">
          <reference field="4294967294" count="1" selected="0">
            <x v="1"/>
          </reference>
          <reference field="2" count="1" selected="0">
            <x v="2"/>
          </reference>
          <reference field="3" count="1" selected="0">
            <x v="1"/>
          </reference>
        </references>
      </pivotArea>
    </chartFormat>
    <chartFormat chart="10" format="81">
      <pivotArea type="data" outline="0" fieldPosition="0">
        <references count="3">
          <reference field="4294967294" count="1" selected="0">
            <x v="1"/>
          </reference>
          <reference field="2" count="1" selected="0">
            <x v="3"/>
          </reference>
          <reference field="3" count="1" selected="0">
            <x v="3"/>
          </reference>
        </references>
      </pivotArea>
    </chartFormat>
    <chartFormat chart="10" format="82">
      <pivotArea type="data" outline="0" fieldPosition="0">
        <references count="3">
          <reference field="4294967294" count="1" selected="0">
            <x v="1"/>
          </reference>
          <reference field="2" count="1" selected="0">
            <x v="4"/>
          </reference>
          <reference field="3" count="1" selected="0">
            <x v="2"/>
          </reference>
        </references>
      </pivotArea>
    </chartFormat>
    <chartFormat chart="10" format="83" series="1">
      <pivotArea type="data" outline="0" fieldPosition="0">
        <references count="1">
          <reference field="4294967294" count="1" selected="0">
            <x v="2"/>
          </reference>
        </references>
      </pivotArea>
    </chartFormat>
    <chartFormat chart="10" format="84">
      <pivotArea type="data" outline="0" fieldPosition="0">
        <references count="3">
          <reference field="4294967294" count="1" selected="0">
            <x v="2"/>
          </reference>
          <reference field="2" count="1" selected="0">
            <x v="0"/>
          </reference>
          <reference field="3" count="1" selected="0">
            <x v="0"/>
          </reference>
        </references>
      </pivotArea>
    </chartFormat>
    <chartFormat chart="10" format="85">
      <pivotArea type="data" outline="0" fieldPosition="0">
        <references count="3">
          <reference field="4294967294" count="1" selected="0">
            <x v="2"/>
          </reference>
          <reference field="2" count="1" selected="0">
            <x v="1"/>
          </reference>
          <reference field="3" count="1" selected="0">
            <x v="4"/>
          </reference>
        </references>
      </pivotArea>
    </chartFormat>
    <chartFormat chart="10" format="86">
      <pivotArea type="data" outline="0" fieldPosition="0">
        <references count="3">
          <reference field="4294967294" count="1" selected="0">
            <x v="2"/>
          </reference>
          <reference field="2" count="1" selected="0">
            <x v="2"/>
          </reference>
          <reference field="3" count="1" selected="0">
            <x v="1"/>
          </reference>
        </references>
      </pivotArea>
    </chartFormat>
    <chartFormat chart="10" format="87">
      <pivotArea type="data" outline="0" fieldPosition="0">
        <references count="3">
          <reference field="4294967294" count="1" selected="0">
            <x v="2"/>
          </reference>
          <reference field="2" count="1" selected="0">
            <x v="3"/>
          </reference>
          <reference field="3" count="1" selected="0">
            <x v="3"/>
          </reference>
        </references>
      </pivotArea>
    </chartFormat>
    <chartFormat chart="10" format="88">
      <pivotArea type="data" outline="0" fieldPosition="0">
        <references count="3">
          <reference field="4294967294" count="1" selected="0">
            <x v="2"/>
          </reference>
          <reference field="2" count="1" selected="0">
            <x v="4"/>
          </reference>
          <reference field="3" count="1" selected="0">
            <x v="2"/>
          </reference>
        </references>
      </pivotArea>
    </chartFormat>
    <chartFormat chart="12" format="71" series="1">
      <pivotArea type="data" outline="0" fieldPosition="0">
        <references count="1">
          <reference field="4294967294" count="1" selected="0">
            <x v="0"/>
          </reference>
        </references>
      </pivotArea>
    </chartFormat>
    <chartFormat chart="12" format="72">
      <pivotArea type="data" outline="0" fieldPosition="0">
        <references count="3">
          <reference field="4294967294" count="1" selected="0">
            <x v="0"/>
          </reference>
          <reference field="2" count="1" selected="0">
            <x v="0"/>
          </reference>
          <reference field="3" count="1" selected="0">
            <x v="0"/>
          </reference>
        </references>
      </pivotArea>
    </chartFormat>
    <chartFormat chart="12" format="73">
      <pivotArea type="data" outline="0" fieldPosition="0">
        <references count="3">
          <reference field="4294967294" count="1" selected="0">
            <x v="0"/>
          </reference>
          <reference field="2" count="1" selected="0">
            <x v="1"/>
          </reference>
          <reference field="3" count="1" selected="0">
            <x v="4"/>
          </reference>
        </references>
      </pivotArea>
    </chartFormat>
    <chartFormat chart="12" format="74">
      <pivotArea type="data" outline="0" fieldPosition="0">
        <references count="3">
          <reference field="4294967294" count="1" selected="0">
            <x v="0"/>
          </reference>
          <reference field="2" count="1" selected="0">
            <x v="2"/>
          </reference>
          <reference field="3" count="1" selected="0">
            <x v="1"/>
          </reference>
        </references>
      </pivotArea>
    </chartFormat>
    <chartFormat chart="12" format="75">
      <pivotArea type="data" outline="0" fieldPosition="0">
        <references count="3">
          <reference field="4294967294" count="1" selected="0">
            <x v="0"/>
          </reference>
          <reference field="2" count="1" selected="0">
            <x v="3"/>
          </reference>
          <reference field="3" count="1" selected="0">
            <x v="3"/>
          </reference>
        </references>
      </pivotArea>
    </chartFormat>
    <chartFormat chart="12" format="76">
      <pivotArea type="data" outline="0" fieldPosition="0">
        <references count="3">
          <reference field="4294967294" count="1" selected="0">
            <x v="0"/>
          </reference>
          <reference field="2" count="1" selected="0">
            <x v="4"/>
          </reference>
          <reference field="3" count="1" selected="0">
            <x v="2"/>
          </reference>
        </references>
      </pivotArea>
    </chartFormat>
    <chartFormat chart="12" format="77" series="1">
      <pivotArea type="data" outline="0" fieldPosition="0">
        <references count="1">
          <reference field="4294967294" count="1" selected="0">
            <x v="1"/>
          </reference>
        </references>
      </pivotArea>
    </chartFormat>
    <chartFormat chart="12" format="78">
      <pivotArea type="data" outline="0" fieldPosition="0">
        <references count="3">
          <reference field="4294967294" count="1" selected="0">
            <x v="1"/>
          </reference>
          <reference field="2" count="1" selected="0">
            <x v="0"/>
          </reference>
          <reference field="3" count="1" selected="0">
            <x v="0"/>
          </reference>
        </references>
      </pivotArea>
    </chartFormat>
    <chartFormat chart="12" format="79">
      <pivotArea type="data" outline="0" fieldPosition="0">
        <references count="3">
          <reference field="4294967294" count="1" selected="0">
            <x v="1"/>
          </reference>
          <reference field="2" count="1" selected="0">
            <x v="1"/>
          </reference>
          <reference field="3" count="1" selected="0">
            <x v="4"/>
          </reference>
        </references>
      </pivotArea>
    </chartFormat>
    <chartFormat chart="12" format="80">
      <pivotArea type="data" outline="0" fieldPosition="0">
        <references count="3">
          <reference field="4294967294" count="1" selected="0">
            <x v="1"/>
          </reference>
          <reference field="2" count="1" selected="0">
            <x v="2"/>
          </reference>
          <reference field="3" count="1" selected="0">
            <x v="1"/>
          </reference>
        </references>
      </pivotArea>
    </chartFormat>
    <chartFormat chart="12" format="81">
      <pivotArea type="data" outline="0" fieldPosition="0">
        <references count="3">
          <reference field="4294967294" count="1" selected="0">
            <x v="1"/>
          </reference>
          <reference field="2" count="1" selected="0">
            <x v="3"/>
          </reference>
          <reference field="3" count="1" selected="0">
            <x v="3"/>
          </reference>
        </references>
      </pivotArea>
    </chartFormat>
    <chartFormat chart="12" format="82">
      <pivotArea type="data" outline="0" fieldPosition="0">
        <references count="3">
          <reference field="4294967294" count="1" selected="0">
            <x v="1"/>
          </reference>
          <reference field="2" count="1" selected="0">
            <x v="4"/>
          </reference>
          <reference field="3" count="1" selected="0">
            <x v="2"/>
          </reference>
        </references>
      </pivotArea>
    </chartFormat>
    <chartFormat chart="12" format="83" series="1">
      <pivotArea type="data" outline="0" fieldPosition="0">
        <references count="1">
          <reference field="4294967294" count="1" selected="0">
            <x v="2"/>
          </reference>
        </references>
      </pivotArea>
    </chartFormat>
    <chartFormat chart="12" format="84">
      <pivotArea type="data" outline="0" fieldPosition="0">
        <references count="3">
          <reference field="4294967294" count="1" selected="0">
            <x v="2"/>
          </reference>
          <reference field="2" count="1" selected="0">
            <x v="0"/>
          </reference>
          <reference field="3" count="1" selected="0">
            <x v="0"/>
          </reference>
        </references>
      </pivotArea>
    </chartFormat>
    <chartFormat chart="12" format="85">
      <pivotArea type="data" outline="0" fieldPosition="0">
        <references count="3">
          <reference field="4294967294" count="1" selected="0">
            <x v="2"/>
          </reference>
          <reference field="2" count="1" selected="0">
            <x v="1"/>
          </reference>
          <reference field="3" count="1" selected="0">
            <x v="4"/>
          </reference>
        </references>
      </pivotArea>
    </chartFormat>
    <chartFormat chart="12" format="86">
      <pivotArea type="data" outline="0" fieldPosition="0">
        <references count="3">
          <reference field="4294967294" count="1" selected="0">
            <x v="2"/>
          </reference>
          <reference field="2" count="1" selected="0">
            <x v="2"/>
          </reference>
          <reference field="3" count="1" selected="0">
            <x v="1"/>
          </reference>
        </references>
      </pivotArea>
    </chartFormat>
    <chartFormat chart="12" format="87">
      <pivotArea type="data" outline="0" fieldPosition="0">
        <references count="3">
          <reference field="4294967294" count="1" selected="0">
            <x v="2"/>
          </reference>
          <reference field="2" count="1" selected="0">
            <x v="3"/>
          </reference>
          <reference field="3" count="1" selected="0">
            <x v="3"/>
          </reference>
        </references>
      </pivotArea>
    </chartFormat>
    <chartFormat chart="12" format="88">
      <pivotArea type="data" outline="0" fieldPosition="0">
        <references count="3">
          <reference field="4294967294" count="1" selected="0">
            <x v="2"/>
          </reference>
          <reference field="2" count="1" selected="0">
            <x v="4"/>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GROUP" xr10:uid="{E48093D9-5FF4-4101-8C66-DF7188BD3CC5}" sourceName="CUST-GROUP">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_2026" xr10:uid="{4A886E39-4A4D-411B-BFD4-670D1F933791}" sourceName="RANK 2026">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NAME_DIST" xr10:uid="{6F9654F2-1F86-462F-9135-56B3F2F5AC80}" sourceName="CUSTNAME_DIST">
  <extLst>
    <x:ext xmlns:x15="http://schemas.microsoft.com/office/spreadsheetml/2010/11/main" uri="{2F2917AC-EB37-4324-AD4E-5DD8C200BD13}">
      <x15:tableSlicerCache tableId="2"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NO_DIST" xr10:uid="{FD54707B-4BC8-40E3-96F5-209E69BC23BB}" sourceName="CUSTNO_DIST">
  <extLst>
    <x:ext xmlns:x15="http://schemas.microsoft.com/office/spreadsheetml/2010/11/main" uri="{2F2917AC-EB37-4324-AD4E-5DD8C200BD13}">
      <x15:tableSlicerCache tableId="2"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FY_2025" xr10:uid="{A0100726-3E23-4B75-8C1F-0B4D9F60D3E5}" sourceName="TOTAL FY 2025">
  <extLst>
    <x:ext xmlns:x15="http://schemas.microsoft.com/office/spreadsheetml/2010/11/main" uri="{2F2917AC-EB37-4324-AD4E-5DD8C200BD13}">
      <x15:tableSlicerCache tableId="2"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FY_25" xr10:uid="{CDA366F4-E76F-46A4-BC33-3D2CF0526FD8}" sourceName="AVG FY 25">
  <extLst>
    <x:ext xmlns:x15="http://schemas.microsoft.com/office/spreadsheetml/2010/11/main" uri="{2F2917AC-EB37-4324-AD4E-5DD8C200BD13}">
      <x15:tableSlicerCache tableId="2"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_2025" xr10:uid="{05D5FAE4-62B5-4196-B111-3C2997746BD9}" sourceName="RANK 2025">
  <extLst>
    <x:ext xmlns:x15="http://schemas.microsoft.com/office/spreadsheetml/2010/11/main" uri="{2F2917AC-EB37-4324-AD4E-5DD8C200BD13}">
      <x15:tableSlicerCache tableId="2" column="6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FY_24" xr10:uid="{384E1FDF-A281-4704-B502-2638A07B29FD}" sourceName="AVG FY 24">
  <extLst>
    <x:ext xmlns:x15="http://schemas.microsoft.com/office/spreadsheetml/2010/11/main" uri="{2F2917AC-EB37-4324-AD4E-5DD8C200BD13}">
      <x15:tableSlicerCache tableId="2" column="7"/>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_2024" xr10:uid="{69CF395A-DFDF-40C9-A978-7032DBA43D5E}" sourceName="RANK 2024">
  <extLst>
    <x:ext xmlns:x15="http://schemas.microsoft.com/office/spreadsheetml/2010/11/main" uri="{2F2917AC-EB37-4324-AD4E-5DD8C200BD13}">
      <x15:tableSlicerCache tableId="2" column="8"/>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_25_VS_FY_24" xr10:uid="{B0177117-A16A-4EFD-AF88-6CE7CE6EB5B2}" sourceName="FY 25 VS FY 24">
  <extLst>
    <x:ext xmlns:x15="http://schemas.microsoft.com/office/spreadsheetml/2010/11/main" uri="{2F2917AC-EB37-4324-AD4E-5DD8C200BD13}">
      <x15:tableSlicerCache tableId="2" column="9"/>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JAN_26" xr10:uid="{A6342D51-CC4C-475C-A0CE-83530B0BC2C5}" sourceName="GROWTH JAN 26">
  <extLst>
    <x:ext xmlns:x15="http://schemas.microsoft.com/office/spreadsheetml/2010/11/main" uri="{2F2917AC-EB37-4324-AD4E-5DD8C200BD13}">
      <x15:tableSlicerCache tableId="2" column="10"/>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_BY_GROUP_JAN_26" xr10:uid="{188007E2-D3FA-41CD-861D-6A5ABABB261D}" sourceName="GROWTH  BY GROUP JAN 26">
  <extLst>
    <x:ext xmlns:x15="http://schemas.microsoft.com/office/spreadsheetml/2010/11/main" uri="{2F2917AC-EB37-4324-AD4E-5DD8C200BD13}">
      <x15:tableSlicerCache tableId="2" column="11"/>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FEB_26" xr10:uid="{2809B63C-485A-4720-89F8-CC9EC00F9655}" sourceName="GROWTH FEB 26">
  <extLst>
    <x:ext xmlns:x15="http://schemas.microsoft.com/office/spreadsheetml/2010/11/main" uri="{2F2917AC-EB37-4324-AD4E-5DD8C200BD13}">
      <x15:tableSlicerCache tableId="2" column="12"/>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_BY_GROUP_FEB_26" xr10:uid="{979734E8-F51F-4B9D-ADDD-1018F54F0B9B}" sourceName="GROWTH  BY GROUP FEB 26">
  <extLst>
    <x:ext xmlns:x15="http://schemas.microsoft.com/office/spreadsheetml/2010/11/main" uri="{2F2917AC-EB37-4324-AD4E-5DD8C200BD13}">
      <x15:tableSlicerCache tableId="2" column="13"/>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TO_SKU_2025" xr10:uid="{DD6E595D-5EEE-4EDA-80B2-5042B0E4EF48}" sourceName="PARETO SKU 2025">
  <extLst>
    <x:ext xmlns:x15="http://schemas.microsoft.com/office/spreadsheetml/2010/11/main" uri="{2F2917AC-EB37-4324-AD4E-5DD8C200BD13}">
      <x15:tableSlicerCache tableId="2" column="14"/>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__PARETO_SKU_2025" xr10:uid="{358DF746-1475-4F76-97C1-8B25FE3FF63B}" sourceName="(-) PARETO SKU 2025">
  <extLst>
    <x:ext xmlns:x15="http://schemas.microsoft.com/office/spreadsheetml/2010/11/main" uri="{2F2917AC-EB37-4324-AD4E-5DD8C200BD13}">
      <x15:tableSlicerCache tableId="2" column="15"/>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TO_SKU_JAN_2026" xr10:uid="{4B685B23-A429-4CC3-9A01-4B18135F2D0C}" sourceName="PARETO SKU JAN 2026">
  <extLst>
    <x:ext xmlns:x15="http://schemas.microsoft.com/office/spreadsheetml/2010/11/main" uri="{2F2917AC-EB37-4324-AD4E-5DD8C200BD13}">
      <x15:tableSlicerCache tableId="2" column="16"/>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__PARETO_SKU_JAN_2026" xr10:uid="{F25E081F-F321-4221-BD56-12755EA85933}" sourceName="(-) PARETO SKU JAN 2026">
  <extLst>
    <x:ext xmlns:x15="http://schemas.microsoft.com/office/spreadsheetml/2010/11/main" uri="{2F2917AC-EB37-4324-AD4E-5DD8C200BD13}">
      <x15:tableSlicerCache tableId="2" column="17"/>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TO_SKU_FEB_2026" xr10:uid="{6A1DA334-AB2E-43BB-98C0-2D57C9A93523}" sourceName="PARETO SKU FEB 2026">
  <extLst>
    <x:ext xmlns:x15="http://schemas.microsoft.com/office/spreadsheetml/2010/11/main" uri="{2F2917AC-EB37-4324-AD4E-5DD8C200BD13}">
      <x15:tableSlicerCache tableId="2" column="18"/>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__PARETO_SKU_FEB_2026" xr10:uid="{2880B4EB-59F7-4A8D-BAB4-4D55B960EECF}" sourceName="(-) PARETO SKU FEB 2026">
  <extLst>
    <x:ext xmlns:x15="http://schemas.microsoft.com/office/spreadsheetml/2010/11/main" uri="{2F2917AC-EB37-4324-AD4E-5DD8C200BD13}">
      <x15:tableSlicerCache tableId="2" column="19"/>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FY_25_BY_GROUP" xr10:uid="{626F4530-C96B-45BA-BD69-80EB9C442D81}" sourceName="GROWTH FY 25 BY GROUP">
  <extLst>
    <x:ext xmlns:x15="http://schemas.microsoft.com/office/spreadsheetml/2010/11/main" uri="{2F2917AC-EB37-4324-AD4E-5DD8C200BD13}">
      <x15:tableSlicerCache tableId="2" column="6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GROUP" xr10:uid="{428237B6-9065-4CDC-A40E-10FBDAAD8B32}" cache="Slicer_CUST_GROUP" caption="CUST-GROUP" columnCount="3" style="SlicerStyleDark2" rowHeight="504000"/>
  <slicer name="RANK 2026" xr10:uid="{C9BD60CD-836E-4B21-816E-BC55D1AB6F8B}" cache="Slicer_RANK_2026" caption="RANK 2026" style="SlicerStyleDark3" rowHeight="540000"/>
  <slicer name="CUSTNAME_DIST" xr10:uid="{625722BD-B81C-40EE-BEE2-0776A3B9A569}" cache="Slicer_CUSTNAME_DIST" caption="CUSTNAME_DIST" style="SlicerStyleDark2" rowHeight="360000"/>
  <slicer name="CUSTNO_DIST" xr10:uid="{DA84D7A0-8C26-466B-9799-147E85A5FC8A}" cache="Slicer_CUSTNO_DIST" caption="CUSTNO_DIST" style="SlicerStyleDark2" rowHeight="360000"/>
  <slicer name="TOTAL FY 2025" xr10:uid="{520FAF5B-8863-4E5B-B8EA-69FE63EA1CAC}" cache="Slicer_TOTAL_FY_2025" caption="TOTAL FY 2025" style="SlicerStyleDark2" rowHeight="360000"/>
  <slicer name="AVG FY 25" xr10:uid="{23E911AB-B3BC-413D-A373-5DAA8280DBFC}" cache="Slicer_AVG_FY_25" caption="AVG FY 25" style="SlicerStyleDark2" rowHeight="360000"/>
  <slicer name="RANK 2025" xr10:uid="{EB86D04C-A7AE-4C84-B72C-53E50CBB637B}" cache="Slicer_RANK_2025" caption="RANK 2025" style="SlicerStyleDark3" rowHeight="360000"/>
  <slicer name="AVG FY 24" xr10:uid="{8BF4CE93-5A19-440B-B0D2-5EB1B6FFAD75}" cache="Slicer_AVG_FY_24" caption="AVG FY 24" style="SlicerStyleDark2" rowHeight="360000"/>
  <slicer name="RANK 2024" xr10:uid="{860D7059-BEEB-4AD6-9AE9-5FA1CEB336D2}" cache="Slicer_RANK_2024" caption="RANK 2024" style="SlicerStyleDark3" rowHeight="360000"/>
  <slicer name="FY 25 VS FY 24" xr10:uid="{B858743E-CC75-480C-A8F9-2EEA62A536D3}" cache="Slicer_FY_25_VS_FY_24" caption="GROWTH BY OUTLET FY 2025" columnCount="4" style="SlicerStyleDark6" rowHeight="720000"/>
  <slicer name="GROWTH JAN 26" xr10:uid="{91036EB1-CB7B-401A-8777-B922E88DBB19}" cache="Slicer_GROWTH_JAN_26" caption="GROWTH BY OUTLET JAN 26" columnCount="4" style="SlicerStyleDark6" rowHeight="720000"/>
  <slicer name="GROWTH  BY GROUP JAN 26" xr10:uid="{F8EE4E9A-6A18-44B1-9EBB-1BD2623CE32B}" cache="Slicer_GROWTH__BY_GROUP_JAN_26" caption="GROWTH  BY GROUP JAN 26" columnCount="4" style="SlicerStyleDark4" rowHeight="900000"/>
  <slicer name="GROWTH FEB 26" xr10:uid="{244EC130-8B91-41F6-8AA6-95A3CC0DCA41}" cache="Slicer_GROWTH_FEB_26" caption="GROWTH BY OUTLET FEB 26" columnCount="4" style="SlicerStyleDark6" rowHeight="720000"/>
  <slicer name="GROWTH  BY GROUP FEB 26" xr10:uid="{6DB5ACE3-C9F2-4A03-8A8D-F8829BDE6522}" cache="Slicer_GROWTH__BY_GROUP_FEB_26" caption="GROWTH  BY GROUP FEB 26" columnCount="4" style="SlicerStyleDark4" rowHeight="900000"/>
  <slicer name="PARETO SKU 2025" xr10:uid="{F7FC6CCA-400B-4B31-BE00-501773617E5F}" cache="Slicer_PARETO_SKU_2025" caption="PARETO SKU 2025" columnCount="4" style="SlicerStyleLight2" rowHeight="720000"/>
  <slicer name="(-) PARETO SKU 2025" xr10:uid="{84E3E4E3-9085-4B33-8488-A90A28D41690}" cache="Slicer_____PARETO_SKU_2025" caption="(-) PARETO SKU 2025" columnCount="4" style="SlicerStyleLight2" rowHeight="720000"/>
  <slicer name="PARETO SKU JAN 2026" xr10:uid="{0CB4AE48-6C21-489C-B3A2-B32823851B62}" cache="Slicer_PARETO_SKU_JAN_2026" caption="PARETO SKU JAN 2026" columnCount="4" style="SlicerStyleLight2" rowHeight="720000"/>
  <slicer name="(-) PARETO SKU JAN 2026" xr10:uid="{D9B6748A-958E-4714-B25A-8E9635231EFD}" cache="Slicer_____PARETO_SKU_JAN_2026" caption="(-) PARETO SKU JAN 2026" columnCount="4" style="SlicerStyleLight2" rowHeight="720000"/>
  <slicer name="PARETO SKU FEB 2026" xr10:uid="{6C1B4288-8839-4AC1-A36F-2870966E04B1}" cache="Slicer_PARETO_SKU_FEB_2026" caption="PARETO SKU FEB 2026" columnCount="4" style="SlicerStyleLight2" rowHeight="720000"/>
  <slicer name="(-) PARETO SKU FEB 2026" xr10:uid="{B5EEFB6C-2B98-42AD-9F6F-CF3EE1D5F88B}" cache="Slicer_____PARETO_SKU_FEB_2026" caption="(-) PARETO SKU FEB 2026" columnCount="4" style="SlicerStyleLight2" rowHeight="720000"/>
  <slicer name="GROWTH FY 25 BY GROUP" xr10:uid="{383C9A02-218E-4051-9AED-D77428AB9D1E}" cache="Slicer_GROWTH_FY_25_BY_GROUP" caption="GROWTH FY 25 BY GROUP" style="SlicerStyleDark4"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0ADB348-B112-4D11-8B2B-523225B64853}" name="Table7" displayName="Table7" ref="BI3:BO22" totalsRowShown="0" headerRowDxfId="9" dataDxfId="4" headerRowBorderDxfId="12" tableBorderDxfId="13" totalsRowBorderDxfId="11">
  <autoFilter ref="BI3:BO22" xr:uid="{C0ADB348-B112-4D11-8B2B-523225B64853}"/>
  <tableColumns count="7">
    <tableColumn id="1" xr3:uid="{5045A41E-82A1-40A1-AFA2-9A0016208F72}" name="RANK 2026" dataDxfId="1" dataCellStyle="Normal 2 16"/>
    <tableColumn id="2" xr3:uid="{6E44B8EC-6B75-468F-8F25-38E540692CB0}" name="AVG JAN - FEB 2026" dataDxfId="8" dataCellStyle="Comma"/>
    <tableColumn id="3" xr3:uid="{A758B85D-C6AE-409C-A6B5-0959BFECCA8D}" name="BUSINESS CONTRIBUTION" dataDxfId="7" dataCellStyle="Percent 3"/>
    <tableColumn id="4" xr3:uid="{8DD7371A-F39B-4204-9351-E9472A9CFEAE}" name="CUSTOMER GROUP NAME" dataDxfId="6" dataCellStyle="Normal 2 16"/>
    <tableColumn id="5" xr3:uid="{75D00BCD-72AE-4388-9D58-6D92DEF2080B}" name="RANK 2025" dataDxfId="2" dataCellStyle="Normal 2 16"/>
    <tableColumn id="6" xr3:uid="{08969FB3-AABB-48C5-BB0C-27C0599C4BCC}" name="RANK 2024" dataDxfId="0" dataCellStyle="Comma 3"/>
    <tableColumn id="7" xr3:uid="{5B9D3897-98A6-4F5E-8B54-D2BF9BED030D}" name="GROWTH 2025 VS 2024" dataDxfId="5" dataCellStyle="Percent 3"/>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2944D0-6B2D-455A-A57B-662424A9BAB1}" name="Table2" displayName="Table2" ref="B3:BJ65" totalsRowShown="0" headerRowDxfId="144" dataDxfId="142" headerRowBorderDxfId="143" tableBorderDxfId="141" totalsRowBorderDxfId="140" headerRowCellStyle="Normal 2 16">
  <autoFilter ref="B3:BJ65" xr:uid="{102944D0-6B2D-455A-A57B-662424A9BAB1}"/>
  <tableColumns count="61">
    <tableColumn id="1" xr3:uid="{133633CB-2701-45DB-8940-CB801E5C5569}" name="CUST-GROUP" dataDxfId="139"/>
    <tableColumn id="2" xr3:uid="{143499C2-D7EA-4123-AF4A-107172A161A6}" name="RANK 2026" dataDxfId="138"/>
    <tableColumn id="3" xr3:uid="{FD1B8B6F-A303-49ED-9977-A0EA1B7C8802}" name="CUSTNAME_DIST" dataDxfId="137"/>
    <tableColumn id="4" xr3:uid="{A048CE41-00AB-4393-A792-6DEA4328D1EC}" name="CUSTNO_DIST" dataDxfId="136"/>
    <tableColumn id="5" xr3:uid="{AF9EB846-2BFF-42B1-A1BB-07B22E403EE4}" name="TOTAL FY 2025" dataDxfId="135"/>
    <tableColumn id="6" xr3:uid="{7AEDA6A4-8458-4313-BF7C-39638D7C7836}" name="AVG FY 25" dataDxfId="134"/>
    <tableColumn id="61" xr3:uid="{4525EB2C-E6CF-479E-8C24-A6AF2CEFD0D6}" name="RANK 2025" dataDxfId="133" dataCellStyle="Comma 3">
      <calculatedColumnFormula>RANK(G4,$G$4:$G$64,0)</calculatedColumnFormula>
    </tableColumn>
    <tableColumn id="7" xr3:uid="{3C323652-AD54-481D-8230-07A8DF1372F0}" name="AVG FY 24" dataDxfId="132"/>
    <tableColumn id="8" xr3:uid="{526B2B3D-B599-4755-A59F-08D0F446B0AD}" name="RANK 2024" dataDxfId="131"/>
    <tableColumn id="9" xr3:uid="{ED14F39F-B575-4912-AC62-3A65F6125646}" name="FY 25 VS FY 24" dataDxfId="130"/>
    <tableColumn id="62" xr3:uid="{EF58148D-37A8-4092-80C1-513C8298EC23}" name="GROWTH FY 25 BY GROUP" dataDxfId="129" dataCellStyle="Percent 3">
      <calculatedColumnFormula>IFERROR(VLOOKUP(Table2[[#This Row],[CUST-GROUP]],$E$70:$K$88,7,FALSE),0)</calculatedColumnFormula>
    </tableColumn>
    <tableColumn id="10" xr3:uid="{705B039C-659B-4CCD-BCB9-099E94C54E69}" name="GROWTH JAN 26" dataDxfId="128"/>
    <tableColumn id="11" xr3:uid="{60AC6B11-4131-44E1-B8DB-E823216FE82B}" name="GROWTH  BY GROUP JAN 26" dataDxfId="127"/>
    <tableColumn id="12" xr3:uid="{FCE01931-2D99-47E9-A5ED-3EFE6C4D7128}" name="GROWTH FEB 26" dataDxfId="126"/>
    <tableColumn id="13" xr3:uid="{AFA6B56C-76CB-4638-BF83-45A23F6F2D37}" name="GROWTH  BY GROUP FEB 26" dataDxfId="125"/>
    <tableColumn id="21" xr3:uid="{0C5C0EDB-B751-4796-BE99-DB307820EBD5}" name="GROWTH MAR 26" dataDxfId="124" dataCellStyle="Percent 3"/>
    <tableColumn id="22" xr3:uid="{E8E92EF8-FEDC-4831-84B2-94E7561D6BFD}" name="GROWTH  BY GROUP MAR 26" dataDxfId="123" dataCellStyle="Percent 3"/>
    <tableColumn id="23" xr3:uid="{2A2DDBA9-F94E-415F-A5CF-44F5D81776FA}" name="GROWTH APR 26" dataDxfId="122" dataCellStyle="Percent 3"/>
    <tableColumn id="24" xr3:uid="{8E75368F-068F-46B5-9B2D-3C99051D9B2F}" name="GROWTH  BY GROUP APR 26" dataDxfId="121" dataCellStyle="Percent 3"/>
    <tableColumn id="25" xr3:uid="{217B906C-3D4E-4E2C-A659-49E4F0939C9D}" name="GROWTH MAY 26" dataDxfId="120" dataCellStyle="Percent 3"/>
    <tableColumn id="26" xr3:uid="{B6849B69-7668-43E3-91CE-85393DD6515A}" name="GROWTH  BY GROUP MAY 26" dataDxfId="119" dataCellStyle="Percent 3"/>
    <tableColumn id="27" xr3:uid="{8012075E-FE7D-41ED-BA31-0E132FA19BA4}" name="GROWTH JUN 26" dataDxfId="118" dataCellStyle="Percent 3"/>
    <tableColumn id="28" xr3:uid="{6DBE2B14-3FB3-481D-B304-B8CD0E4481C2}" name="GROWTH  BY GROUP JUN 26" dataDxfId="117" dataCellStyle="Percent 3"/>
    <tableColumn id="29" xr3:uid="{DCBDF55B-EE8A-4B49-9AD5-13C88C64822A}" name="GROWTH JUL 26" dataDxfId="116" dataCellStyle="Percent 3"/>
    <tableColumn id="30" xr3:uid="{D0BA1DF7-35F2-4994-8A56-A7638666A167}" name="GROWTH  BY GROUP JUL 26" dataDxfId="115" dataCellStyle="Percent 3"/>
    <tableColumn id="31" xr3:uid="{BDF2FD5E-E4F0-42A4-A062-2A75949C89B6}" name="GROWTH AUG 26" dataDxfId="114" dataCellStyle="Percent 3"/>
    <tableColumn id="32" xr3:uid="{C851D65C-F01E-41B4-8E43-F0408E43C15B}" name="GROWTH  BY GROUP AUG 26" dataDxfId="113" dataCellStyle="Percent 3"/>
    <tableColumn id="33" xr3:uid="{5DDACC58-F0F9-4134-A1EE-12F40E0128FE}" name="GROWTH SEP 26" dataDxfId="112" dataCellStyle="Percent 3"/>
    <tableColumn id="34" xr3:uid="{5095A788-36B4-45AC-8409-60B5C3BD94B8}" name="GROWTH  BY GROUP SEP 26" dataDxfId="111" dataCellStyle="Percent 3"/>
    <tableColumn id="35" xr3:uid="{085E00AB-D118-47D4-82CD-FD2D94B01F30}" name="GROWTH OCT 26" dataDxfId="110" dataCellStyle="Percent 3"/>
    <tableColumn id="36" xr3:uid="{D495E291-F338-4C3C-8338-50432C2AC8D7}" name="GROWTH  BY GROUP OCT 26" dataDxfId="109" dataCellStyle="Percent 3"/>
    <tableColumn id="37" xr3:uid="{0615DC2D-45CD-46E0-8541-9412C310D323}" name="GROWTH NOV 26" dataDxfId="108" dataCellStyle="Percent 3"/>
    <tableColumn id="38" xr3:uid="{9D0F1721-E229-4C1E-9378-AE0BA039085C}" name="GROWTH  BY GROUP NOV 26" dataDxfId="107" dataCellStyle="Percent 3"/>
    <tableColumn id="39" xr3:uid="{DDD7B5AC-B9F0-4DB6-9839-F73106A994A3}" name="GROWTH DEC 26" dataDxfId="106" dataCellStyle="Percent 3"/>
    <tableColumn id="40" xr3:uid="{DF9677E6-B456-483E-8C9D-89B6465FFE64}" name="GROWTH  BY GROUP DEC 26" dataDxfId="105" dataCellStyle="Percent 3"/>
    <tableColumn id="14" xr3:uid="{B6D5C38A-1EF1-4032-8255-33CF6D1E54C2}" name="PARETO SKU 2025" dataDxfId="104"/>
    <tableColumn id="15" xr3:uid="{E9F1E043-3038-4863-AD41-C92A29E0806C}" name="(-) PARETO SKU 2025" dataDxfId="103"/>
    <tableColumn id="16" xr3:uid="{A2825361-8D12-4D1F-9350-A1FAA6F91BB3}" name="PARETO SKU JAN 2026" dataDxfId="102"/>
    <tableColumn id="17" xr3:uid="{9D015C6E-2266-4EB6-9107-6C23663A7796}" name="(-) PARETO SKU JAN 2026" dataDxfId="101"/>
    <tableColumn id="18" xr3:uid="{4973FB96-9C17-45AC-A0AD-62888CDF6DDB}" name="PARETO SKU FEB 2026" dataDxfId="100"/>
    <tableColumn id="19" xr3:uid="{9BF613D7-6B42-4E42-A31C-A14ECF8C1B52}" name="(-) PARETO SKU FEB 2026" dataDxfId="99"/>
    <tableColumn id="41" xr3:uid="{93B8D21D-76C5-4797-8A12-BEFBCE88389A}" name="PARETO SKU MAR 2026" dataDxfId="98" dataCellStyle="Percent 3"/>
    <tableColumn id="42" xr3:uid="{1B8C9BF5-F732-4C03-B9D9-EE6DBC49961A}" name="(-) PARETO SKU MAR 2026" dataDxfId="97" dataCellStyle="Percent 3">
      <calculatedColumnFormula>35-Table2[[#This Row],[PARETO SKU MAR 2026]]</calculatedColumnFormula>
    </tableColumn>
    <tableColumn id="43" xr3:uid="{1A70458B-EFBB-43A3-80BA-324914BCBA6E}" name="PARETO SKU APR 2026" dataDxfId="96"/>
    <tableColumn id="44" xr3:uid="{D9330271-D1BA-4372-A937-EC21FEA847BF}" name="(-) PARETO SKU APR 2026" dataDxfId="95">
      <calculatedColumnFormula>35-Table2[[#This Row],[PARETO SKU MAR 2026]]</calculatedColumnFormula>
    </tableColumn>
    <tableColumn id="45" xr3:uid="{12001481-0CE6-41EB-B5E1-AD1233A445C7}" name="PARETO SKU MAY 2026" dataDxfId="94" dataCellStyle="Percent 3"/>
    <tableColumn id="46" xr3:uid="{33A7934E-8886-404C-83DF-12D489BDFE6A}" name="(-) PARETO SKU MAY 2026" dataDxfId="93" dataCellStyle="Percent 3">
      <calculatedColumnFormula>35-Table2[[#This Row],[PARETO SKU MAR 2026]]</calculatedColumnFormula>
    </tableColumn>
    <tableColumn id="47" xr3:uid="{4C916214-FC37-4FFF-BC97-09598CE4B594}" name="PARETO SKU JUN 2026" dataDxfId="92" dataCellStyle="Percent 3"/>
    <tableColumn id="48" xr3:uid="{24942158-A7EB-457B-9FA2-712AC7FEA2C3}" name="(-) PARETO SKU JUN 2026" dataDxfId="91" dataCellStyle="Percent 3">
      <calculatedColumnFormula>35-Table2[[#This Row],[PARETO SKU MAR 2026]]</calculatedColumnFormula>
    </tableColumn>
    <tableColumn id="49" xr3:uid="{40267033-3923-46C6-B27E-DF5673124AEB}" name="PARETO SKU JUL 2026" dataDxfId="90" dataCellStyle="Percent 3"/>
    <tableColumn id="50" xr3:uid="{213D301E-A85E-42BC-9734-030BEDE20836}" name="(-) PARETO SKU JUL 2026" dataDxfId="89" dataCellStyle="Percent 3">
      <calculatedColumnFormula>35-Table2[[#This Row],[PARETO SKU MAR 2026]]</calculatedColumnFormula>
    </tableColumn>
    <tableColumn id="51" xr3:uid="{E9392676-FABD-41FF-A8B3-DDDBFF7572F8}" name="PARETO SKU AUG 2026" dataDxfId="88" dataCellStyle="Percent 3"/>
    <tableColumn id="52" xr3:uid="{E0A98BC3-EED2-4E90-A3D3-91D977D17E7C}" name="(-) PARETO SKU AUG 2026" dataDxfId="87" dataCellStyle="Percent 3">
      <calculatedColumnFormula>35-Table2[[#This Row],[PARETO SKU MAR 2026]]</calculatedColumnFormula>
    </tableColumn>
    <tableColumn id="53" xr3:uid="{485A7DCE-D76A-492A-AAD7-181FBFBABEBC}" name="PARETO SKU SEP 2026" dataDxfId="86" dataCellStyle="Percent 3"/>
    <tableColumn id="54" xr3:uid="{23F0D0C0-DDB0-4D09-8FF6-99205FB3276D}" name="(-) PARETO SKU SEP 2026" dataDxfId="85" dataCellStyle="Percent 3">
      <calculatedColumnFormula>35-Table2[[#This Row],[PARETO SKU MAR 2026]]</calculatedColumnFormula>
    </tableColumn>
    <tableColumn id="55" xr3:uid="{883CF0D5-C928-465F-9A43-3330CF8BB132}" name="PARETO SKU OCT 2026" dataDxfId="84" dataCellStyle="Percent 3"/>
    <tableColumn id="56" xr3:uid="{1800C2EE-4E5D-486D-BA69-48BE5598763F}" name="(-) PARETO SKU OCT 2026" dataDxfId="83" dataCellStyle="Percent 3">
      <calculatedColumnFormula>35-Table2[[#This Row],[PARETO SKU MAR 2026]]</calculatedColumnFormula>
    </tableColumn>
    <tableColumn id="57" xr3:uid="{193B4D73-6B76-401D-A4CC-70B9EBE8B775}" name="PARETO SKU NOV 2026" dataDxfId="82" dataCellStyle="Percent 3"/>
    <tableColumn id="58" xr3:uid="{66E1F197-2C83-476C-89B2-026A26AE9E70}" name="(-) PARETO SKU NOV 2026" dataDxfId="81" dataCellStyle="Percent 3">
      <calculatedColumnFormula>35-Table2[[#This Row],[PARETO SKU MAR 2026]]</calculatedColumnFormula>
    </tableColumn>
    <tableColumn id="59" xr3:uid="{99FE69A6-568D-4720-A011-6C7D9C486398}" name="PARETO SKU DEC 2026" dataDxfId="80" dataCellStyle="Percent 3"/>
    <tableColumn id="60" xr3:uid="{EEFB8B2C-F97B-4978-9346-E0B6C85103AF}" name="(-) PARETO SKU DEC 2026" dataDxfId="79" dataCellStyle="Percent 3">
      <calculatedColumnFormula>35-Table2[[#This Row],[PARETO SKU MAR 2026]]</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EE8D1C-E4BF-469A-9516-A6C4139FC6FB}" name="Table1" displayName="Table1" ref="B4:BB9" totalsRowShown="0" headerRowDxfId="21" dataDxfId="78" headerRowBorderDxfId="76" tableBorderDxfId="77" totalsRowBorderDxfId="75" headerRowCellStyle="Comma" dataCellStyle="Percent">
  <autoFilter ref="B4:BB9" xr:uid="{6FEE8D1C-E4BF-469A-9516-A6C4139FC6FB}"/>
  <tableColumns count="53">
    <tableColumn id="1" xr3:uid="{5483A1C4-1C98-4C3B-BDBC-6E040D2A51DF}" name="account_name" dataDxfId="74"/>
    <tableColumn id="2" xr3:uid="{83FB4C15-5CFA-4604-88E0-5C56F3C07E80}" name="ID PELANGAN LAMA" dataDxfId="73"/>
    <tableColumn id="3" xr3:uid="{B8FDA745-A4D9-4F19-B7A5-60E29ABFC8D1}" name="CUSTNO_DIST" dataDxfId="72"/>
    <tableColumn id="4" xr3:uid="{AD34E7AC-78DE-41C7-91CF-F6316D44B527}" name="custname_DIST" dataDxfId="71"/>
    <tableColumn id="5" xr3:uid="{379F746D-3308-4975-8EAD-7A81FCF08B3D}" name="CustGroupDesc" dataDxfId="70"/>
    <tableColumn id="6" xr3:uid="{D8C127AC-CAE4-4EFB-88B3-341E92C452D2}" name="BODY LOTION 2025" dataDxfId="69" dataCellStyle="Comma"/>
    <tableColumn id="7" xr3:uid="{1C16A1C3-2F40-4D87-89BE-5D9DCE45224B}" name="BODY MIST 2025" dataDxfId="68" dataCellStyle="Comma"/>
    <tableColumn id="8" xr3:uid="{659C2B87-E3DA-45F4-BB9A-15C0C2D2D44D}" name="EMULSION 2025" dataDxfId="67" dataCellStyle="Comma"/>
    <tableColumn id="9" xr3:uid="{2AB6FA0F-1802-4478-8830-E79E858AAE27}" name="ESSENCE 2025" dataDxfId="66" dataCellStyle="Comma"/>
    <tableColumn id="10" xr3:uid="{201FB2F8-BFBC-4A75-822D-464ED27E0DE1}" name="EXFOLIATING GEL 2025" dataDxfId="65" dataCellStyle="Comma"/>
    <tableColumn id="11" xr3:uid="{B401E8B8-6A62-4935-A830-1477CC8DD797}" name="FACIAL WASH 2025" dataDxfId="64" dataCellStyle="Comma"/>
    <tableColumn id="12" xr3:uid="{8C79EFF4-8B66-4604-86AC-982F9902C29F}" name="MOISTURIZER 2025" dataDxfId="63" dataCellStyle="Comma"/>
    <tableColumn id="13" xr3:uid="{0213D3BD-9685-4264-BA73-9B373684C026}" name="PERFUME 2025" dataDxfId="62" dataCellStyle="Comma"/>
    <tableColumn id="14" xr3:uid="{FEC65454-BE13-4AEC-9AF3-D1A373325595}" name="SABUN CAIR 2025" dataDxfId="61" dataCellStyle="Comma"/>
    <tableColumn id="15" xr3:uid="{D0C574E7-C492-4D90-9C58-194F3C183C15}" name="SABUN MANDI (144) 2025" dataDxfId="60" dataCellStyle="Comma"/>
    <tableColumn id="16" xr3:uid="{36217648-07FE-4EA3-B2AB-832F8173645C}" name="SABUN MANDI (72) 2025" dataDxfId="59" dataCellStyle="Comma"/>
    <tableColumn id="17" xr3:uid="{E6F4CC9E-68E6-4940-96EE-EF8C21852D2B}" name="SABUN MANDI (96) 2025" dataDxfId="58" dataCellStyle="Comma"/>
    <tableColumn id="18" xr3:uid="{8EB5D55B-806A-4EBC-ADBE-CB3CD83E3297}" name="SABUN SCRUB 2025" dataDxfId="57" dataCellStyle="Comma"/>
    <tableColumn id="19" xr3:uid="{96707B49-688A-405E-BB80-B195F8C15BC2}" name="SERUM 2025" dataDxfId="56" dataCellStyle="Comma"/>
    <tableColumn id="20" xr3:uid="{943AF0A0-5A8A-4EE8-9B12-A9DC10F505BC}" name="SUNSCREEN 2025" dataDxfId="55" dataCellStyle="Comma"/>
    <tableColumn id="21" xr3:uid="{031DC000-A58D-4C5A-A715-706F9290B1EE}" name="Grand Total 2025" dataDxfId="54" dataCellStyle="Comma"/>
    <tableColumn id="22" xr3:uid="{D379142E-B14C-4D02-A171-084DF0BAEB02}" name="BODY LOTION 2024" dataDxfId="53" dataCellStyle="Comma"/>
    <tableColumn id="23" xr3:uid="{C50026B7-0896-4959-B5D1-0CF1D7767342}" name="BODY MIST 2024" dataDxfId="52" dataCellStyle="Comma"/>
    <tableColumn id="24" xr3:uid="{B319466D-E198-4335-A768-7FA4987D7B5E}" name="EMULSION 2024" dataDxfId="51" dataCellStyle="Comma">
      <calculatedColumnFormula>0</calculatedColumnFormula>
    </tableColumn>
    <tableColumn id="25" xr3:uid="{EB468372-2F33-4366-A790-F9340BCA950A}" name="ESSENCE 2024" dataDxfId="50" dataCellStyle="Comma">
      <calculatedColumnFormula>0</calculatedColumnFormula>
    </tableColumn>
    <tableColumn id="26" xr3:uid="{DA80BCAE-F005-46A3-BC08-9195F2DD285E}" name="EXFOLIATING GEL 2024" dataDxfId="49" dataCellStyle="Comma"/>
    <tableColumn id="27" xr3:uid="{5C95ABCB-E155-42FA-A979-987275E927F5}" name="FACIAL WASH 2024" dataDxfId="48" dataCellStyle="Comma"/>
    <tableColumn id="28" xr3:uid="{40E1D8AF-C17F-400F-BDB7-7E45E3CBB6B6}" name="MOISTURIZER 2024" dataDxfId="47" dataCellStyle="Comma">
      <calculatedColumnFormula>0</calculatedColumnFormula>
    </tableColumn>
    <tableColumn id="29" xr3:uid="{6E868B72-5128-490F-AD62-CF0CECE78FE7}" name="PERFUME 2024" dataDxfId="46" dataCellStyle="Comma">
      <calculatedColumnFormula>0</calculatedColumnFormula>
    </tableColumn>
    <tableColumn id="30" xr3:uid="{39B540F9-FDA0-488E-A077-AE9769D2B4D1}" name="SABUN CAIR 2024" dataDxfId="45" dataCellStyle="Comma"/>
    <tableColumn id="31" xr3:uid="{96A998A1-E5DA-4921-8F77-BC5081BA0428}" name="SABUN MANDI (144) 2024" dataDxfId="44" dataCellStyle="Comma"/>
    <tableColumn id="32" xr3:uid="{6CCDB1D2-9B94-4897-888D-0D3D191AB935}" name="SABUN MANDI (72) 2024" dataDxfId="43" dataCellStyle="Comma"/>
    <tableColumn id="33" xr3:uid="{54AC485F-4F8E-42C0-8ACB-F162E766A5C1}" name="SABUN MANDI (96) 2024" dataDxfId="42" dataCellStyle="Comma"/>
    <tableColumn id="34" xr3:uid="{7B7D238C-D84A-4283-97CC-DBE3B05E86FB}" name="SABUN SCRUB 2024" dataDxfId="41" dataCellStyle="Comma"/>
    <tableColumn id="35" xr3:uid="{12FBBAD2-B20F-41BE-A258-6FABB7A96471}" name="SERUM 2024" dataDxfId="40" dataCellStyle="Comma">
      <calculatedColumnFormula>0</calculatedColumnFormula>
    </tableColumn>
    <tableColumn id="36" xr3:uid="{4AC33E20-1289-4B16-961B-4567E374AF72}" name="SUNSCREEN 2024" dataDxfId="39" dataCellStyle="Comma">
      <calculatedColumnFormula>0</calculatedColumnFormula>
    </tableColumn>
    <tableColumn id="37" xr3:uid="{74959DF8-BC8B-421A-8E32-5594F1604D22}" name="Grand Total 2024" dataDxfId="38" dataCellStyle="Comma"/>
    <tableColumn id="38" xr3:uid="{AE1C100E-B9D9-4D02-835C-06E882A18E8B}" name="GROWTH BODY LOTION" dataDxfId="37" dataCellStyle="Percent">
      <calculatedColumnFormula>IFERROR(G5/W5-1,0)</calculatedColumnFormula>
    </tableColumn>
    <tableColumn id="39" xr3:uid="{87C594C7-47B9-4273-83E2-9FEE59E52EA6}" name="GROWTH BODY MIST" dataDxfId="36" dataCellStyle="Percent">
      <calculatedColumnFormula>IFERROR(H5/X5-1,0)</calculatedColumnFormula>
    </tableColumn>
    <tableColumn id="40" xr3:uid="{52458700-665B-4054-BB18-D43B3DDB2C5C}" name="GROWTH EMULSION" dataDxfId="35" dataCellStyle="Percent">
      <calculatedColumnFormula>IFERROR(I5/Y5-1,0)</calculatedColumnFormula>
    </tableColumn>
    <tableColumn id="41" xr3:uid="{B68387CF-4AC9-41E8-B11B-602B5F474325}" name="GROWTH ESSENCE" dataDxfId="34" dataCellStyle="Percent">
      <calculatedColumnFormula>IFERROR(J5/Z5-1,0)</calculatedColumnFormula>
    </tableColumn>
    <tableColumn id="42" xr3:uid="{F8FB638B-D003-4661-AF69-DA4545FF4E23}" name="GROWTH EXFOLIATING GEL" dataDxfId="33" dataCellStyle="Percent">
      <calculatedColumnFormula>IFERROR(K5/AA5-1,0)</calculatedColumnFormula>
    </tableColumn>
    <tableColumn id="43" xr3:uid="{748F2530-A51E-46B6-9A3C-9A936E556D04}" name="GROWTH FACIAL WASH" dataDxfId="32" dataCellStyle="Percent">
      <calculatedColumnFormula>IFERROR(L5/AB5-1,0)</calculatedColumnFormula>
    </tableColumn>
    <tableColumn id="44" xr3:uid="{82F6CC03-1B06-4044-B614-D72136F7300F}" name="GROWTH MOISTURIZER" dataDxfId="31" dataCellStyle="Percent">
      <calculatedColumnFormula>IFERROR(M5/AC5-1,0)</calculatedColumnFormula>
    </tableColumn>
    <tableColumn id="45" xr3:uid="{B8350BDD-E121-4844-9A8B-CD37EBDC7B7C}" name="GROWTH PERFUME" dataDxfId="30" dataCellStyle="Percent">
      <calculatedColumnFormula>IFERROR(N5/AD5-1,0)</calculatedColumnFormula>
    </tableColumn>
    <tableColumn id="46" xr3:uid="{3C287361-CC42-450D-AEF0-F4F13973DB29}" name="GROWTH SABUN CAIR" dataDxfId="29" dataCellStyle="Percent">
      <calculatedColumnFormula>IFERROR(O5/AE5-1,0)</calculatedColumnFormula>
    </tableColumn>
    <tableColumn id="47" xr3:uid="{57D2AAD2-3303-4DE0-97F8-552D9DF16007}" name="GROWTH SABUN MANDI (144)" dataDxfId="28" dataCellStyle="Percent">
      <calculatedColumnFormula>IFERROR(P5/AF5-1,0)</calculatedColumnFormula>
    </tableColumn>
    <tableColumn id="48" xr3:uid="{0412A398-98C6-4ADD-A7F7-6AA549745029}" name="GROWTH SABUN MANDI (72)" dataDxfId="27" dataCellStyle="Percent">
      <calculatedColumnFormula>IFERROR(Q5/AG5-1,0)</calculatedColumnFormula>
    </tableColumn>
    <tableColumn id="49" xr3:uid="{671AFA2F-F6B0-4F14-8EF3-2A9847EEF87C}" name="GROWTH SABUN MANDI (96)" dataDxfId="26" dataCellStyle="Percent">
      <calculatedColumnFormula>IFERROR(R5/AH5-1,0)</calculatedColumnFormula>
    </tableColumn>
    <tableColumn id="50" xr3:uid="{863A0CC1-383E-4B5D-81FD-12B6E32990E6}" name="GROWTH SABUN SCRUB" dataDxfId="25" dataCellStyle="Percent">
      <calculatedColumnFormula>IFERROR(S5/AI5-1,0)</calculatedColumnFormula>
    </tableColumn>
    <tableColumn id="51" xr3:uid="{92EE96B7-3279-4A07-B1DC-78D86D8B9B31}" name="GROWTH SERUM" dataDxfId="24" dataCellStyle="Percent">
      <calculatedColumnFormula>IFERROR(T5/AJ5-1,0)</calculatedColumnFormula>
    </tableColumn>
    <tableColumn id="52" xr3:uid="{A6BA3006-61B9-407F-A2CE-1E2295C9B966}" name="GROWTH SUNSCREEN" dataDxfId="23" dataCellStyle="Percent">
      <calculatedColumnFormula>IFERROR(U5/AK5-1,0)</calculatedColumnFormula>
    </tableColumn>
    <tableColumn id="53" xr3:uid="{F674C75C-F462-4F49-A2D8-AA9A9E8A22F7}" name="GROWTH Grand Total" dataDxfId="22" dataCellStyle="Percent">
      <calculatedColumnFormula>IFERROR(V5/AL5-1,0)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image" Target="../media/image1.jpeg"/><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5AA9-B694-429E-961E-6BD1C9A6FD9C}">
  <dimension ref="A3:BO22"/>
  <sheetViews>
    <sheetView showGridLines="0" tabSelected="1" zoomScale="61" zoomScaleNormal="50" workbookViewId="0">
      <pane xSplit="1" ySplit="1" topLeftCell="AW2" activePane="bottomRight" state="frozen"/>
      <selection pane="topRight" activeCell="B1" sqref="B1"/>
      <selection pane="bottomLeft" activeCell="A2" sqref="A2"/>
      <selection pane="bottomRight"/>
    </sheetView>
  </sheetViews>
  <sheetFormatPr defaultRowHeight="14.4" x14ac:dyDescent="0.3"/>
  <cols>
    <col min="60" max="60" width="8.88671875" style="77"/>
    <col min="61" max="61" width="17.77734375" style="131" customWidth="1"/>
    <col min="62" max="62" width="29.33203125" style="77" bestFit="1" customWidth="1"/>
    <col min="63" max="63" width="29" style="77" bestFit="1" customWidth="1"/>
    <col min="64" max="64" width="46.88671875" style="77" bestFit="1" customWidth="1"/>
    <col min="65" max="66" width="17.77734375" style="131" customWidth="1"/>
    <col min="67" max="67" width="17" style="77" customWidth="1"/>
    <col min="68" max="16384" width="8.88671875" style="77"/>
  </cols>
  <sheetData>
    <row r="3" spans="61:67" ht="93" customHeight="1" thickBot="1" x14ac:dyDescent="0.35">
      <c r="BI3" s="108" t="s">
        <v>233</v>
      </c>
      <c r="BJ3" s="109" t="s">
        <v>309</v>
      </c>
      <c r="BK3" s="109" t="s">
        <v>310</v>
      </c>
      <c r="BL3" s="110" t="s">
        <v>131</v>
      </c>
      <c r="BM3" s="110" t="s">
        <v>2</v>
      </c>
      <c r="BN3" s="109" t="s">
        <v>6</v>
      </c>
      <c r="BO3" s="111" t="s">
        <v>308</v>
      </c>
    </row>
    <row r="4" spans="61:67" ht="25.05" customHeight="1" thickBot="1" x14ac:dyDescent="0.5">
      <c r="BI4" s="112">
        <v>1</v>
      </c>
      <c r="BJ4" s="129">
        <v>275890878.85062498</v>
      </c>
      <c r="BK4" s="113">
        <v>0.20235051424814582</v>
      </c>
      <c r="BL4" s="114" t="s">
        <v>133</v>
      </c>
      <c r="BM4" s="115">
        <v>1</v>
      </c>
      <c r="BN4" s="132">
        <v>1</v>
      </c>
      <c r="BO4" s="116">
        <v>0.20819267436989897</v>
      </c>
    </row>
    <row r="5" spans="61:67" ht="25.05" customHeight="1" thickBot="1" x14ac:dyDescent="0.5">
      <c r="BI5" s="112">
        <v>2</v>
      </c>
      <c r="BJ5" s="129">
        <v>164513692.87479168</v>
      </c>
      <c r="BK5" s="113">
        <v>0.18687585388381697</v>
      </c>
      <c r="BL5" s="114" t="s">
        <v>134</v>
      </c>
      <c r="BM5" s="115">
        <v>2</v>
      </c>
      <c r="BN5" s="132">
        <v>2</v>
      </c>
      <c r="BO5" s="116">
        <v>0.36424418497548472</v>
      </c>
    </row>
    <row r="6" spans="61:67" ht="25.05" customHeight="1" thickBot="1" x14ac:dyDescent="0.5">
      <c r="BI6" s="112">
        <v>3</v>
      </c>
      <c r="BJ6" s="129">
        <v>156933490.3792707</v>
      </c>
      <c r="BK6" s="113">
        <v>0.14706043525048312</v>
      </c>
      <c r="BL6" s="114" t="s">
        <v>135</v>
      </c>
      <c r="BM6" s="115">
        <v>3</v>
      </c>
      <c r="BN6" s="132">
        <v>3</v>
      </c>
      <c r="BO6" s="116">
        <v>0.1239579649544611</v>
      </c>
    </row>
    <row r="7" spans="61:67" ht="25.05" customHeight="1" thickBot="1" x14ac:dyDescent="0.6">
      <c r="BI7" s="122">
        <v>4</v>
      </c>
      <c r="BJ7" s="127">
        <v>101589387.50375</v>
      </c>
      <c r="BK7" s="124">
        <v>0.1085967297430044</v>
      </c>
      <c r="BL7" s="125" t="s">
        <v>136</v>
      </c>
      <c r="BM7" s="123">
        <v>4</v>
      </c>
      <c r="BN7" s="128">
        <v>4</v>
      </c>
      <c r="BO7" s="126">
        <v>0.1461552607021519</v>
      </c>
    </row>
    <row r="8" spans="61:67" ht="25.05" customHeight="1" thickBot="1" x14ac:dyDescent="0.5">
      <c r="BI8" s="112">
        <v>7</v>
      </c>
      <c r="BJ8" s="129">
        <v>76259232.173593774</v>
      </c>
      <c r="BK8" s="113">
        <v>8.1049445729483291E-2</v>
      </c>
      <c r="BL8" s="114" t="s">
        <v>137</v>
      </c>
      <c r="BM8" s="115">
        <v>5</v>
      </c>
      <c r="BN8" s="132">
        <v>5</v>
      </c>
      <c r="BO8" s="116">
        <v>0.31105346786620669</v>
      </c>
    </row>
    <row r="9" spans="61:67" ht="25.05" customHeight="1" thickBot="1" x14ac:dyDescent="0.5">
      <c r="BI9" s="112">
        <v>5</v>
      </c>
      <c r="BJ9" s="129">
        <v>85808280.243229166</v>
      </c>
      <c r="BK9" s="113">
        <v>5.5582796264071942E-2</v>
      </c>
      <c r="BL9" s="114" t="s">
        <v>138</v>
      </c>
      <c r="BM9" s="115">
        <v>6</v>
      </c>
      <c r="BN9" s="132">
        <v>6</v>
      </c>
      <c r="BO9" s="116">
        <v>4.9144122299097592E-2</v>
      </c>
    </row>
    <row r="10" spans="61:67" ht="25.05" customHeight="1" thickBot="1" x14ac:dyDescent="0.5">
      <c r="BI10" s="112">
        <v>6</v>
      </c>
      <c r="BJ10" s="129">
        <v>83359604.254583359</v>
      </c>
      <c r="BK10" s="113">
        <v>4.9481329029496743E-2</v>
      </c>
      <c r="BL10" s="114" t="s">
        <v>139</v>
      </c>
      <c r="BM10" s="115">
        <v>7</v>
      </c>
      <c r="BN10" s="132">
        <v>8</v>
      </c>
      <c r="BO10" s="116">
        <v>0.1295445799804944</v>
      </c>
    </row>
    <row r="11" spans="61:67" ht="25.05" customHeight="1" thickBot="1" x14ac:dyDescent="0.5">
      <c r="BI11" s="112">
        <v>8</v>
      </c>
      <c r="BJ11" s="129">
        <v>56037630.022083342</v>
      </c>
      <c r="BK11" s="113">
        <v>4.5949261920213758E-2</v>
      </c>
      <c r="BL11" s="114" t="s">
        <v>140</v>
      </c>
      <c r="BM11" s="115">
        <v>8</v>
      </c>
      <c r="BN11" s="132">
        <v>7</v>
      </c>
      <c r="BO11" s="116">
        <v>3.5428639582653076E-2</v>
      </c>
    </row>
    <row r="12" spans="61:67" ht="25.05" customHeight="1" thickBot="1" x14ac:dyDescent="0.5">
      <c r="BI12" s="112">
        <v>10</v>
      </c>
      <c r="BJ12" s="129">
        <v>30317484.101875</v>
      </c>
      <c r="BK12" s="113">
        <v>2.9951481209293283E-2</v>
      </c>
      <c r="BL12" s="114" t="s">
        <v>141</v>
      </c>
      <c r="BM12" s="115">
        <v>9</v>
      </c>
      <c r="BN12" s="132">
        <v>9</v>
      </c>
      <c r="BO12" s="116">
        <v>0.35823921847321993</v>
      </c>
    </row>
    <row r="13" spans="61:67" ht="25.05" customHeight="1" thickBot="1" x14ac:dyDescent="0.5">
      <c r="BI13" s="112">
        <v>11</v>
      </c>
      <c r="BJ13" s="129">
        <v>24784366.596666664</v>
      </c>
      <c r="BK13" s="113">
        <v>2.4058225683273388E-2</v>
      </c>
      <c r="BL13" s="114" t="s">
        <v>142</v>
      </c>
      <c r="BM13" s="115">
        <v>10</v>
      </c>
      <c r="BN13" s="132">
        <v>10</v>
      </c>
      <c r="BO13" s="116">
        <v>0.19230579050676755</v>
      </c>
    </row>
    <row r="14" spans="61:67" ht="25.05" customHeight="1" thickBot="1" x14ac:dyDescent="0.5">
      <c r="BI14" s="112">
        <v>9</v>
      </c>
      <c r="BJ14" s="129">
        <v>32263139.862812497</v>
      </c>
      <c r="BK14" s="113">
        <v>1.7646572570086793E-2</v>
      </c>
      <c r="BL14" s="114" t="s">
        <v>143</v>
      </c>
      <c r="BM14" s="115">
        <v>11</v>
      </c>
      <c r="BN14" s="132">
        <v>11</v>
      </c>
      <c r="BO14" s="116">
        <v>0.24817061363564563</v>
      </c>
    </row>
    <row r="15" spans="61:67" ht="25.05" customHeight="1" thickBot="1" x14ac:dyDescent="0.5">
      <c r="BI15" s="112">
        <v>12</v>
      </c>
      <c r="BJ15" s="129">
        <v>17408829.120416667</v>
      </c>
      <c r="BK15" s="113">
        <v>1.325672139788887E-2</v>
      </c>
      <c r="BL15" s="114" t="s">
        <v>144</v>
      </c>
      <c r="BM15" s="115">
        <v>12</v>
      </c>
      <c r="BN15" s="132">
        <v>12</v>
      </c>
      <c r="BO15" s="116">
        <v>0.21189024387949829</v>
      </c>
    </row>
    <row r="16" spans="61:67" ht="25.05" customHeight="1" thickBot="1" x14ac:dyDescent="0.5">
      <c r="BI16" s="112">
        <v>16</v>
      </c>
      <c r="BJ16" s="129">
        <v>7270133.2621875033</v>
      </c>
      <c r="BK16" s="113">
        <v>1.0132068514768985E-2</v>
      </c>
      <c r="BL16" s="114" t="s">
        <v>145</v>
      </c>
      <c r="BM16" s="115">
        <v>13</v>
      </c>
      <c r="BN16" s="132">
        <v>13</v>
      </c>
      <c r="BO16" s="116">
        <v>-5.3128670378995491E-2</v>
      </c>
    </row>
    <row r="17" spans="61:67" ht="25.05" customHeight="1" thickBot="1" x14ac:dyDescent="0.5">
      <c r="BI17" s="112">
        <v>14</v>
      </c>
      <c r="BJ17" s="129">
        <v>7869279.3296875004</v>
      </c>
      <c r="BK17" s="113">
        <v>9.0534139083622359E-3</v>
      </c>
      <c r="BL17" s="114" t="s">
        <v>146</v>
      </c>
      <c r="BM17" s="115">
        <v>15</v>
      </c>
      <c r="BN17" s="132">
        <v>15</v>
      </c>
      <c r="BO17" s="116">
        <v>0.32882906953660029</v>
      </c>
    </row>
    <row r="18" spans="61:67" ht="25.05" customHeight="1" thickBot="1" x14ac:dyDescent="0.5">
      <c r="BI18" s="112">
        <v>13</v>
      </c>
      <c r="BJ18" s="129">
        <v>15808961.900416663</v>
      </c>
      <c r="BK18" s="113">
        <v>9.3146532499528475E-3</v>
      </c>
      <c r="BL18" s="114" t="s">
        <v>147</v>
      </c>
      <c r="BM18" s="115">
        <v>14</v>
      </c>
      <c r="BN18" s="132">
        <v>14</v>
      </c>
      <c r="BO18" s="116">
        <v>-0.1059355584334789</v>
      </c>
    </row>
    <row r="19" spans="61:67" ht="25.05" customHeight="1" thickBot="1" x14ac:dyDescent="0.5">
      <c r="BI19" s="112">
        <v>15</v>
      </c>
      <c r="BJ19" s="129">
        <v>7755496.5906249918</v>
      </c>
      <c r="BK19" s="113">
        <v>7.510863513365551E-3</v>
      </c>
      <c r="BL19" s="114" t="s">
        <v>148</v>
      </c>
      <c r="BM19" s="115">
        <v>16</v>
      </c>
      <c r="BN19" s="132">
        <v>16</v>
      </c>
      <c r="BO19" s="116">
        <v>0.22122978476559663</v>
      </c>
    </row>
    <row r="20" spans="61:67" ht="25.05" customHeight="1" thickBot="1" x14ac:dyDescent="0.5">
      <c r="BI20" s="112">
        <v>17</v>
      </c>
      <c r="BJ20" s="129">
        <v>1782071.2748437501</v>
      </c>
      <c r="BK20" s="113">
        <v>1.0937949276943141E-3</v>
      </c>
      <c r="BL20" s="114" t="s">
        <v>149</v>
      </c>
      <c r="BM20" s="115">
        <v>17</v>
      </c>
      <c r="BN20" s="132">
        <v>18</v>
      </c>
      <c r="BO20" s="116">
        <v>0.48172194709026406</v>
      </c>
    </row>
    <row r="21" spans="61:67" ht="25.05" customHeight="1" thickBot="1" x14ac:dyDescent="0.5">
      <c r="BI21" s="112">
        <v>19</v>
      </c>
      <c r="BJ21" s="129">
        <v>0</v>
      </c>
      <c r="BK21" s="113">
        <v>7.9485127523241407E-4</v>
      </c>
      <c r="BL21" s="114" t="s">
        <v>150</v>
      </c>
      <c r="BM21" s="115">
        <v>18</v>
      </c>
      <c r="BN21" s="132">
        <v>17</v>
      </c>
      <c r="BO21" s="116">
        <v>-0.35001742350173315</v>
      </c>
    </row>
    <row r="22" spans="61:67" ht="25.05" customHeight="1" x14ac:dyDescent="0.45">
      <c r="BI22" s="117">
        <v>18</v>
      </c>
      <c r="BJ22" s="130">
        <v>735135.24</v>
      </c>
      <c r="BK22" s="118">
        <v>2.4098768136521153E-4</v>
      </c>
      <c r="BL22" s="119" t="s">
        <v>151</v>
      </c>
      <c r="BM22" s="120">
        <v>19</v>
      </c>
      <c r="BN22" s="133">
        <v>19</v>
      </c>
      <c r="BO22" s="121">
        <v>1</v>
      </c>
    </row>
  </sheetData>
  <pageMargins left="0.7" right="0.7" top="0.75" bottom="0.75" header="0.3" footer="0.3"/>
  <drawing r:id="rId1"/>
  <picture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922A5-0AD9-4FC9-8BA8-664918E7CA69}">
  <sheetPr>
    <pageSetUpPr fitToPage="1"/>
  </sheetPr>
  <dimension ref="A1:BM91"/>
  <sheetViews>
    <sheetView showGridLines="0" zoomScale="58" zoomScaleNormal="85" workbookViewId="0">
      <pane xSplit="5" ySplit="3" topLeftCell="F61" activePane="bottomRight" state="frozen"/>
      <selection pane="topRight" activeCell="F1" sqref="F1"/>
      <selection pane="bottomLeft" activeCell="A4" sqref="A4"/>
      <selection pane="bottomRight" activeCell="B69" sqref="B69:K88"/>
    </sheetView>
  </sheetViews>
  <sheetFormatPr defaultRowHeight="15.6" outlineLevelCol="1" x14ac:dyDescent="0.3"/>
  <cols>
    <col min="1" max="1" width="1.109375" style="1" customWidth="1"/>
    <col min="2" max="2" width="27.5546875" style="1" bestFit="1" customWidth="1"/>
    <col min="3" max="3" width="29.33203125" style="1" customWidth="1"/>
    <col min="4" max="4" width="54.5546875" style="1" bestFit="1" customWidth="1"/>
    <col min="5" max="5" width="51.109375" style="1" bestFit="1" customWidth="1"/>
    <col min="6" max="6" width="30" style="1" customWidth="1" outlineLevel="1"/>
    <col min="7" max="7" width="37.21875" style="1" bestFit="1" customWidth="1" outlineLevel="1"/>
    <col min="8" max="8" width="24.77734375" style="1" bestFit="1" customWidth="1" outlineLevel="1"/>
    <col min="9" max="9" width="23.6640625" style="1" bestFit="1" customWidth="1"/>
    <col min="10" max="10" width="24.77734375" style="1" bestFit="1" customWidth="1"/>
    <col min="11" max="11" width="29.6640625" style="1" bestFit="1" customWidth="1"/>
    <col min="12" max="12" width="46.6640625" style="1" bestFit="1" customWidth="1"/>
    <col min="13" max="13" width="32.88671875" style="1" bestFit="1" customWidth="1"/>
    <col min="14" max="14" width="49.5546875" style="1" bestFit="1" customWidth="1"/>
    <col min="15" max="15" width="32.44140625" style="1" bestFit="1" customWidth="1"/>
    <col min="16" max="16" width="49.33203125" style="1" hidden="1" customWidth="1" outlineLevel="1"/>
    <col min="17" max="17" width="34.44140625" style="1" hidden="1" customWidth="1" outlineLevel="1"/>
    <col min="18" max="18" width="51.109375" style="1" hidden="1" customWidth="1" outlineLevel="1"/>
    <col min="19" max="19" width="33.21875" style="1" hidden="1" customWidth="1" outlineLevel="1"/>
    <col min="20" max="20" width="49.88671875" style="1" hidden="1" customWidth="1" outlineLevel="1"/>
    <col min="21" max="21" width="34.21875" style="1" hidden="1" customWidth="1" outlineLevel="1"/>
    <col min="22" max="22" width="50.88671875" style="4" hidden="1" customWidth="1" outlineLevel="1"/>
    <col min="23" max="23" width="33.109375" style="1" hidden="1" customWidth="1" outlineLevel="1"/>
    <col min="24" max="24" width="30.21875" style="1" hidden="1" customWidth="1" outlineLevel="1"/>
    <col min="25" max="25" width="32.109375" style="1" hidden="1" customWidth="1" outlineLevel="1"/>
    <col min="26" max="26" width="39" style="1" hidden="1" customWidth="1" outlineLevel="1"/>
    <col min="27" max="27" width="33.77734375" style="1" hidden="1" customWidth="1" outlineLevel="1"/>
    <col min="28" max="28" width="31" style="1" hidden="1" customWidth="1" outlineLevel="1"/>
    <col min="29" max="29" width="32.33203125" style="1" hidden="1" customWidth="1" outlineLevel="1"/>
    <col min="30" max="30" width="29.6640625" style="1" hidden="1" customWidth="1" outlineLevel="1"/>
    <col min="31" max="31" width="33.21875" style="1" hidden="1" customWidth="1" outlineLevel="1"/>
    <col min="32" max="32" width="35.44140625" style="1" hidden="1" customWidth="1" outlineLevel="1"/>
    <col min="33" max="33" width="34" style="1" hidden="1" customWidth="1" outlineLevel="1"/>
    <col min="34" max="34" width="31.109375" style="1" hidden="1" customWidth="1" outlineLevel="1"/>
    <col min="35" max="35" width="33.109375" style="1" hidden="1" customWidth="1" outlineLevel="1"/>
    <col min="36" max="36" width="30.21875" style="1" hidden="1" customWidth="1" outlineLevel="1"/>
    <col min="37" max="37" width="26.5546875" style="1" bestFit="1" customWidth="1" collapsed="1"/>
    <col min="38" max="38" width="30.33203125" style="1" bestFit="1" customWidth="1"/>
    <col min="39" max="39" width="32.88671875" style="1" bestFit="1" customWidth="1"/>
    <col min="40" max="40" width="36.5546875" style="1" bestFit="1" customWidth="1"/>
    <col min="41" max="41" width="26.5546875" style="1" bestFit="1" customWidth="1"/>
    <col min="42" max="42" width="30.33203125" style="1" hidden="1" customWidth="1" outlineLevel="1"/>
    <col min="43" max="43" width="26.5546875" style="1" hidden="1" customWidth="1" outlineLevel="1"/>
    <col min="44" max="44" width="30.33203125" style="1" hidden="1" customWidth="1" outlineLevel="1"/>
    <col min="45" max="45" width="26.5546875" style="1" hidden="1" customWidth="1" outlineLevel="1"/>
    <col min="46" max="46" width="30.33203125" style="1" hidden="1" customWidth="1" outlineLevel="1"/>
    <col min="47" max="47" width="22" style="1" hidden="1" customWidth="1" outlineLevel="1"/>
    <col min="48" max="48" width="24.109375" style="1" hidden="1" customWidth="1" outlineLevel="1"/>
    <col min="49" max="49" width="20.77734375" style="1" hidden="1" customWidth="1" outlineLevel="1"/>
    <col min="50" max="50" width="25.21875" style="1" hidden="1" customWidth="1" outlineLevel="1"/>
    <col min="51" max="51" width="20.21875" style="1" hidden="1" customWidth="1" outlineLevel="1"/>
    <col min="52" max="52" width="28.109375" style="1" hidden="1" customWidth="1" outlineLevel="1"/>
    <col min="53" max="53" width="21.5546875" style="1" hidden="1" customWidth="1" outlineLevel="1"/>
    <col min="54" max="54" width="24.109375" style="1" hidden="1" customWidth="1" outlineLevel="1"/>
    <col min="55" max="55" width="20.21875" style="1" hidden="1" customWidth="1" outlineLevel="1"/>
    <col min="56" max="56" width="28.21875" style="1" hidden="1" customWidth="1" outlineLevel="1"/>
    <col min="57" max="57" width="26.5546875" style="1" hidden="1" customWidth="1" outlineLevel="1"/>
    <col min="58" max="58" width="24.109375" style="1" hidden="1" customWidth="1" outlineLevel="1"/>
    <col min="59" max="59" width="26.5546875" style="1" hidden="1" customWidth="1" outlineLevel="1"/>
    <col min="60" max="60" width="24.109375" style="1" hidden="1" customWidth="1" outlineLevel="1"/>
    <col min="61" max="61" width="17.88671875" style="1" hidden="1" customWidth="1" outlineLevel="1"/>
    <col min="62" max="62" width="20.77734375" style="1" bestFit="1" customWidth="1" collapsed="1"/>
    <col min="63" max="16384" width="8.88671875" style="1"/>
  </cols>
  <sheetData>
    <row r="1" spans="1:65" ht="31.2" x14ac:dyDescent="0.6">
      <c r="C1" s="2" t="s">
        <v>0</v>
      </c>
    </row>
    <row r="2" spans="1:65" s="5" customFormat="1" ht="23.4" x14ac:dyDescent="0.3">
      <c r="A2" s="1"/>
      <c r="B2" s="1"/>
      <c r="J2" s="55" t="s">
        <v>1</v>
      </c>
      <c r="K2" s="56"/>
      <c r="L2" s="56"/>
      <c r="M2" s="56"/>
      <c r="N2" s="56"/>
      <c r="O2" s="27"/>
      <c r="P2" s="28"/>
      <c r="Q2" s="27"/>
      <c r="R2" s="28"/>
      <c r="V2" s="29"/>
    </row>
    <row r="3" spans="1:65" s="7" customFormat="1" ht="101.4" customHeight="1" thickBot="1" x14ac:dyDescent="0.35">
      <c r="A3" s="6"/>
      <c r="B3" s="42" t="s">
        <v>157</v>
      </c>
      <c r="C3" s="43" t="s">
        <v>233</v>
      </c>
      <c r="D3" s="43" t="s">
        <v>3</v>
      </c>
      <c r="E3" s="43" t="s">
        <v>4</v>
      </c>
      <c r="F3" s="43" t="s">
        <v>5</v>
      </c>
      <c r="G3" s="43" t="s">
        <v>154</v>
      </c>
      <c r="H3" s="43" t="s">
        <v>2</v>
      </c>
      <c r="I3" s="43" t="s">
        <v>153</v>
      </c>
      <c r="J3" s="43" t="s">
        <v>6</v>
      </c>
      <c r="K3" s="43" t="s">
        <v>7</v>
      </c>
      <c r="L3" s="43" t="s">
        <v>237</v>
      </c>
      <c r="M3" s="43" t="s">
        <v>187</v>
      </c>
      <c r="N3" s="43" t="s">
        <v>185</v>
      </c>
      <c r="O3" s="43" t="s">
        <v>188</v>
      </c>
      <c r="P3" s="43" t="s">
        <v>186</v>
      </c>
      <c r="Q3" s="43" t="s">
        <v>193</v>
      </c>
      <c r="R3" s="43" t="s">
        <v>194</v>
      </c>
      <c r="S3" s="43" t="s">
        <v>195</v>
      </c>
      <c r="T3" s="43" t="s">
        <v>196</v>
      </c>
      <c r="U3" s="43" t="s">
        <v>197</v>
      </c>
      <c r="V3" s="43" t="s">
        <v>198</v>
      </c>
      <c r="W3" s="43" t="s">
        <v>199</v>
      </c>
      <c r="X3" s="43" t="s">
        <v>200</v>
      </c>
      <c r="Y3" s="43" t="s">
        <v>201</v>
      </c>
      <c r="Z3" s="43" t="s">
        <v>202</v>
      </c>
      <c r="AA3" s="43" t="s">
        <v>203</v>
      </c>
      <c r="AB3" s="43" t="s">
        <v>206</v>
      </c>
      <c r="AC3" s="43" t="s">
        <v>204</v>
      </c>
      <c r="AD3" s="43" t="s">
        <v>205</v>
      </c>
      <c r="AE3" s="43" t="s">
        <v>207</v>
      </c>
      <c r="AF3" s="43" t="s">
        <v>208</v>
      </c>
      <c r="AG3" s="43" t="s">
        <v>209</v>
      </c>
      <c r="AH3" s="43" t="s">
        <v>210</v>
      </c>
      <c r="AI3" s="43" t="s">
        <v>211</v>
      </c>
      <c r="AJ3" s="43" t="s">
        <v>212</v>
      </c>
      <c r="AK3" s="43" t="s">
        <v>155</v>
      </c>
      <c r="AL3" s="43" t="s">
        <v>182</v>
      </c>
      <c r="AM3" s="43" t="s">
        <v>156</v>
      </c>
      <c r="AN3" s="43" t="s">
        <v>183</v>
      </c>
      <c r="AO3" s="43" t="s">
        <v>158</v>
      </c>
      <c r="AP3" s="44" t="s">
        <v>184</v>
      </c>
      <c r="AQ3" s="43" t="s">
        <v>213</v>
      </c>
      <c r="AR3" s="44" t="s">
        <v>214</v>
      </c>
      <c r="AS3" s="43" t="s">
        <v>215</v>
      </c>
      <c r="AT3" s="43" t="s">
        <v>216</v>
      </c>
      <c r="AU3" s="43" t="s">
        <v>217</v>
      </c>
      <c r="AV3" s="43" t="s">
        <v>218</v>
      </c>
      <c r="AW3" s="43" t="s">
        <v>219</v>
      </c>
      <c r="AX3" s="43" t="s">
        <v>220</v>
      </c>
      <c r="AY3" s="43" t="s">
        <v>221</v>
      </c>
      <c r="AZ3" s="43" t="s">
        <v>222</v>
      </c>
      <c r="BA3" s="43" t="s">
        <v>223</v>
      </c>
      <c r="BB3" s="43" t="s">
        <v>224</v>
      </c>
      <c r="BC3" s="43" t="s">
        <v>225</v>
      </c>
      <c r="BD3" s="43" t="s">
        <v>226</v>
      </c>
      <c r="BE3" s="43" t="s">
        <v>227</v>
      </c>
      <c r="BF3" s="43" t="s">
        <v>228</v>
      </c>
      <c r="BG3" s="43" t="s">
        <v>229</v>
      </c>
      <c r="BH3" s="43" t="s">
        <v>230</v>
      </c>
      <c r="BI3" s="43" t="s">
        <v>231</v>
      </c>
      <c r="BJ3" s="43" t="s">
        <v>232</v>
      </c>
      <c r="BL3" s="8"/>
    </row>
    <row r="4" spans="1:65" ht="27" customHeight="1" thickBot="1" x14ac:dyDescent="0.5">
      <c r="B4" s="45" t="s">
        <v>134</v>
      </c>
      <c r="C4" s="26">
        <f>RANK(IFERROR(VLOOKUP(Table2[[#This Row],[CUSTNO_DIST]],STM!B:C,2,FALSE),0),STM!$C$5:$C$65,0)</f>
        <v>1</v>
      </c>
      <c r="D4" s="46" t="s">
        <v>8</v>
      </c>
      <c r="E4" s="47" t="s">
        <v>9</v>
      </c>
      <c r="F4" s="32">
        <v>3219200074.887291</v>
      </c>
      <c r="G4" s="32">
        <v>268266672.90727425</v>
      </c>
      <c r="H4" s="26">
        <f t="shared" ref="H4:H35" si="0">RANK(G4,$G$4:$G$64,0)</f>
        <v>1</v>
      </c>
      <c r="I4" s="32">
        <v>196641243.45312491</v>
      </c>
      <c r="J4" s="26">
        <f t="shared" ref="J4:J35" si="1">RANK(I4,$I$4:$I$64,0)</f>
        <v>1</v>
      </c>
      <c r="K4" s="34">
        <f t="shared" ref="K4:K13" si="2">IFERROR(G4/I4-1," ")</f>
        <v>0.36424418497548472</v>
      </c>
      <c r="L4" s="34">
        <f>IFERROR(VLOOKUP(Table2[[#This Row],[CUST-GROUP]],$E$70:$K$88,7,FALSE),0)</f>
        <v>0.36424418497548472</v>
      </c>
      <c r="M4" s="48">
        <f>IFERROR(VLOOKUP(E4,STM!G:K,4,FALSE),0)/G4-1</f>
        <v>-8.1816509771146073E-2</v>
      </c>
      <c r="N4" s="48">
        <f>IFERROR(VLOOKUP('SUMMARY MT 2026'!$B4,$E$70:$M$88,8,FALSE),0)</f>
        <v>-8.1816509771146073E-2</v>
      </c>
      <c r="O4" s="34">
        <f>IFERROR(VLOOKUP(E4,STM!G:K,5,FALSE),0)/G4-1</f>
        <v>-0.69168978460441011</v>
      </c>
      <c r="P4" s="34">
        <f>IFERROR(VLOOKUP('SUMMARY MT 2026'!$B4,$E$70:$M$88,9,FALSE),0)</f>
        <v>-0.69168978460441011</v>
      </c>
      <c r="Q4" s="34"/>
      <c r="R4" s="34"/>
      <c r="S4" s="34"/>
      <c r="T4" s="34"/>
      <c r="U4" s="34"/>
      <c r="V4" s="34"/>
      <c r="W4" s="34"/>
      <c r="X4" s="34"/>
      <c r="Y4" s="34"/>
      <c r="Z4" s="34"/>
      <c r="AA4" s="34"/>
      <c r="AB4" s="34"/>
      <c r="AC4" s="34"/>
      <c r="AD4" s="34"/>
      <c r="AE4" s="34"/>
      <c r="AF4" s="34"/>
      <c r="AG4" s="34"/>
      <c r="AH4" s="34"/>
      <c r="AI4" s="34"/>
      <c r="AJ4" s="34"/>
      <c r="AK4" s="30">
        <f>IFERROR(VLOOKUP(E4,[1]dashboard_SYAIFUL!$E$4:$AZ$76,47,FALSE),0)</f>
        <v>0</v>
      </c>
      <c r="AL4" s="30">
        <f>IFERROR(VLOOKUP(E4,[1]dashboard_SYAIFUL!$E$4:$AZ$76,48,FALSE),0)</f>
        <v>0</v>
      </c>
      <c r="AM4" s="30">
        <f>IFERROR(VLOOKUP(E4,[1]dashboard_SYAIFUL!$E$4:$BD$76,49,FALSE),0)</f>
        <v>0</v>
      </c>
      <c r="AN4" s="30">
        <f>IFERROR(VLOOKUP(E4,[1]dashboard_SYAIFUL!$E$4:$BD$76,50,FALSE),0)</f>
        <v>0</v>
      </c>
      <c r="AO4" s="30">
        <f>IFERROR(VLOOKUP('SUMMARY MT 2026'!$E4,[1]dashboard_SYAIFUL!$E$4:$CP$76,89,FALSE),0)</f>
        <v>0</v>
      </c>
      <c r="AP4" s="31">
        <f>IFERROR(VLOOKUP('SUMMARY MT 2026'!$E4,[1]dashboard_SYAIFUL!$E$4:$CP$76,90,FALSE),0)</f>
        <v>0</v>
      </c>
      <c r="AQ4" s="30"/>
      <c r="AR4" s="31">
        <f>35-Table2[[#This Row],[PARETO SKU MAR 2026]]</f>
        <v>35</v>
      </c>
      <c r="AS4" s="30"/>
      <c r="AT4" s="31">
        <f>35-Table2[[#This Row],[PARETO SKU MAR 2026]]</f>
        <v>35</v>
      </c>
      <c r="AU4" s="30"/>
      <c r="AV4" s="31">
        <f>35-Table2[[#This Row],[PARETO SKU MAR 2026]]</f>
        <v>35</v>
      </c>
      <c r="AW4" s="30"/>
      <c r="AX4" s="31">
        <f>35-Table2[[#This Row],[PARETO SKU MAR 2026]]</f>
        <v>35</v>
      </c>
      <c r="AY4" s="30"/>
      <c r="AZ4" s="31">
        <f>35-Table2[[#This Row],[PARETO SKU MAR 2026]]</f>
        <v>35</v>
      </c>
      <c r="BA4" s="30"/>
      <c r="BB4" s="31">
        <f>35-Table2[[#This Row],[PARETO SKU MAR 2026]]</f>
        <v>35</v>
      </c>
      <c r="BC4" s="30"/>
      <c r="BD4" s="31">
        <f>35-Table2[[#This Row],[PARETO SKU MAR 2026]]</f>
        <v>35</v>
      </c>
      <c r="BE4" s="30"/>
      <c r="BF4" s="31">
        <f>35-Table2[[#This Row],[PARETO SKU MAR 2026]]</f>
        <v>35</v>
      </c>
      <c r="BG4" s="30"/>
      <c r="BH4" s="31">
        <f>35-Table2[[#This Row],[PARETO SKU MAR 2026]]</f>
        <v>35</v>
      </c>
      <c r="BI4" s="30"/>
      <c r="BJ4" s="31">
        <f>35-Table2[[#This Row],[PARETO SKU MAR 2026]]</f>
        <v>35</v>
      </c>
      <c r="BL4" s="4"/>
      <c r="BM4" s="9"/>
    </row>
    <row r="5" spans="1:65" ht="27" customHeight="1" thickBot="1" x14ac:dyDescent="0.5">
      <c r="B5" s="45" t="s">
        <v>135</v>
      </c>
      <c r="C5" s="26">
        <f>RANK(IFERROR(VLOOKUP(Table2[[#This Row],[CUSTNO_DIST]],STM!B:C,2,FALSE),0),STM!$C$5:$C$65,0)</f>
        <v>2</v>
      </c>
      <c r="D5" s="46" t="s">
        <v>10</v>
      </c>
      <c r="E5" s="47" t="s">
        <v>11</v>
      </c>
      <c r="F5" s="32">
        <v>2533323349.8729167</v>
      </c>
      <c r="G5" s="32">
        <v>211110279.1560764</v>
      </c>
      <c r="H5" s="26">
        <f t="shared" si="0"/>
        <v>2</v>
      </c>
      <c r="I5" s="32">
        <v>187827557.38078681</v>
      </c>
      <c r="J5" s="26">
        <f t="shared" si="1"/>
        <v>2</v>
      </c>
      <c r="K5" s="34">
        <f t="shared" si="2"/>
        <v>0.1239579649544611</v>
      </c>
      <c r="L5" s="34">
        <f>IFERROR(VLOOKUP(Table2[[#This Row],[CUST-GROUP]],$E$70:$K$88,7,FALSE),0)</f>
        <v>0.1239579649544611</v>
      </c>
      <c r="M5" s="34">
        <f>IFERROR(VLOOKUP(E5,STM!G:K,4,FALSE),0)/G5-1</f>
        <v>0.35969226029231161</v>
      </c>
      <c r="N5" s="34">
        <f>IFERROR(VLOOKUP('SUMMARY MT 2026'!$B5,$E$70:$M$88,8,FALSE),0)</f>
        <v>0.35969226029231161</v>
      </c>
      <c r="O5" s="34">
        <f>IFERROR(VLOOKUP(E5,STM!G:K,5,FALSE),0)/G5-1</f>
        <v>-0.87294807136299979</v>
      </c>
      <c r="P5" s="34">
        <f>IFERROR(VLOOKUP('SUMMARY MT 2026'!$B5,$E$70:$M$88,9,FALSE),0)</f>
        <v>-0.87294807136299979</v>
      </c>
      <c r="Q5" s="34"/>
      <c r="R5" s="34"/>
      <c r="S5" s="34"/>
      <c r="T5" s="34"/>
      <c r="U5" s="34"/>
      <c r="V5" s="34"/>
      <c r="W5" s="34"/>
      <c r="X5" s="34"/>
      <c r="Y5" s="34"/>
      <c r="Z5" s="34"/>
      <c r="AA5" s="34"/>
      <c r="AB5" s="34"/>
      <c r="AC5" s="34"/>
      <c r="AD5" s="34"/>
      <c r="AE5" s="34"/>
      <c r="AF5" s="34"/>
      <c r="AG5" s="34"/>
      <c r="AH5" s="34"/>
      <c r="AI5" s="34"/>
      <c r="AJ5" s="34"/>
      <c r="AK5" s="30">
        <f>IFERROR(VLOOKUP(E5,[1]dashboard_SYAIFUL!$E$4:$AZ$76,47,FALSE),0)</f>
        <v>0</v>
      </c>
      <c r="AL5" s="30">
        <f>IFERROR(VLOOKUP(E5,[1]dashboard_SYAIFUL!$E$4:$AZ$76,48,FALSE),0)</f>
        <v>0</v>
      </c>
      <c r="AM5" s="30">
        <f>IFERROR(VLOOKUP(E5,[1]dashboard_SYAIFUL!$E$4:$BD$76,49,FALSE),0)</f>
        <v>0</v>
      </c>
      <c r="AN5" s="30">
        <f>IFERROR(VLOOKUP(E5,[1]dashboard_SYAIFUL!$E$4:$BD$76,50,FALSE),0)</f>
        <v>0</v>
      </c>
      <c r="AO5" s="30">
        <f>IFERROR(VLOOKUP('SUMMARY MT 2026'!$E5,[1]dashboard_SYAIFUL!$E$4:$CP$76,89,FALSE),0)</f>
        <v>0</v>
      </c>
      <c r="AP5" s="31">
        <f>IFERROR(VLOOKUP('SUMMARY MT 2026'!$E5,[1]dashboard_SYAIFUL!$E$4:$CP$76,90,FALSE),0)</f>
        <v>0</v>
      </c>
      <c r="AQ5" s="30"/>
      <c r="AR5" s="31">
        <f>35-Table2[[#This Row],[PARETO SKU MAR 2026]]</f>
        <v>35</v>
      </c>
      <c r="AS5" s="30"/>
      <c r="AT5" s="31">
        <f>35-Table2[[#This Row],[PARETO SKU MAR 2026]]</f>
        <v>35</v>
      </c>
      <c r="AU5" s="30"/>
      <c r="AV5" s="31">
        <f>35-Table2[[#This Row],[PARETO SKU MAR 2026]]</f>
        <v>35</v>
      </c>
      <c r="AW5" s="30"/>
      <c r="AX5" s="31">
        <f>35-Table2[[#This Row],[PARETO SKU MAR 2026]]</f>
        <v>35</v>
      </c>
      <c r="AY5" s="30"/>
      <c r="AZ5" s="31">
        <f>35-Table2[[#This Row],[PARETO SKU MAR 2026]]</f>
        <v>35</v>
      </c>
      <c r="BA5" s="30"/>
      <c r="BB5" s="31">
        <f>35-Table2[[#This Row],[PARETO SKU MAR 2026]]</f>
        <v>35</v>
      </c>
      <c r="BC5" s="30"/>
      <c r="BD5" s="31">
        <f>35-Table2[[#This Row],[PARETO SKU MAR 2026]]</f>
        <v>35</v>
      </c>
      <c r="BE5" s="30"/>
      <c r="BF5" s="31">
        <f>35-Table2[[#This Row],[PARETO SKU MAR 2026]]</f>
        <v>35</v>
      </c>
      <c r="BG5" s="30"/>
      <c r="BH5" s="31">
        <f>35-Table2[[#This Row],[PARETO SKU MAR 2026]]</f>
        <v>35</v>
      </c>
      <c r="BI5" s="30"/>
      <c r="BJ5" s="31">
        <f>35-Table2[[#This Row],[PARETO SKU MAR 2026]]</f>
        <v>35</v>
      </c>
      <c r="BL5" s="4"/>
    </row>
    <row r="6" spans="1:65" ht="27" customHeight="1" thickBot="1" x14ac:dyDescent="0.5">
      <c r="B6" s="45" t="s">
        <v>136</v>
      </c>
      <c r="C6" s="26">
        <f>RANK(IFERROR(VLOOKUP(Table2[[#This Row],[CUSTNO_DIST]],STM!B:C,2,FALSE),0),STM!$C$5:$C$65,0)</f>
        <v>8</v>
      </c>
      <c r="D6" s="46" t="s">
        <v>12</v>
      </c>
      <c r="E6" s="47" t="s">
        <v>13</v>
      </c>
      <c r="F6" s="32">
        <v>708852693.41020846</v>
      </c>
      <c r="G6" s="32">
        <v>59071057.784184039</v>
      </c>
      <c r="H6" s="26">
        <f t="shared" si="0"/>
        <v>3</v>
      </c>
      <c r="I6" s="32">
        <v>54550163.805555552</v>
      </c>
      <c r="J6" s="26">
        <f t="shared" si="1"/>
        <v>4</v>
      </c>
      <c r="K6" s="34">
        <f t="shared" si="2"/>
        <v>8.2875901064994872E-2</v>
      </c>
      <c r="L6" s="34">
        <f>IFERROR(VLOOKUP(Table2[[#This Row],[CUST-GROUP]],$E$70:$K$88,7,FALSE),0)</f>
        <v>0.1461552607021519</v>
      </c>
      <c r="M6" s="34">
        <f>IFERROR(VLOOKUP(E6,STM!G:K,4,FALSE),0)/G6-1</f>
        <v>9.5355353242871921E-2</v>
      </c>
      <c r="N6" s="34">
        <f>IFERROR(VLOOKUP('SUMMARY MT 2026'!$B6,$E$70:$M$88,8,FALSE),0)</f>
        <v>-7.0447778588230814E-2</v>
      </c>
      <c r="O6" s="34">
        <f>IFERROR(VLOOKUP(E6,STM!G:K,5,FALSE),0)/G6-1</f>
        <v>-0.80310319079689063</v>
      </c>
      <c r="P6" s="34">
        <f>IFERROR(VLOOKUP('SUMMARY MT 2026'!$B6,$E$70:$M$88,9,FALSE),0)</f>
        <v>-0.62624123157423972</v>
      </c>
      <c r="Q6" s="34"/>
      <c r="R6" s="34"/>
      <c r="S6" s="34"/>
      <c r="T6" s="34"/>
      <c r="U6" s="34"/>
      <c r="V6" s="34"/>
      <c r="W6" s="34"/>
      <c r="X6" s="34"/>
      <c r="Y6" s="34"/>
      <c r="Z6" s="34"/>
      <c r="AA6" s="34"/>
      <c r="AB6" s="34"/>
      <c r="AC6" s="34"/>
      <c r="AD6" s="34"/>
      <c r="AE6" s="34"/>
      <c r="AF6" s="34"/>
      <c r="AG6" s="34"/>
      <c r="AH6" s="34"/>
      <c r="AI6" s="34"/>
      <c r="AJ6" s="34"/>
      <c r="AK6" s="30">
        <f>IFERROR(VLOOKUP(E6,[1]dashboard_SYAIFUL!$E$4:$AZ$76,47,FALSE),0)</f>
        <v>24</v>
      </c>
      <c r="AL6" s="30">
        <f>IFERROR(VLOOKUP(E6,[1]dashboard_SYAIFUL!$E$4:$AZ$76,48,FALSE),0)</f>
        <v>11</v>
      </c>
      <c r="AM6" s="30">
        <f>IFERROR(VLOOKUP(E6,[1]dashboard_SYAIFUL!$E$4:$BD$76,49,FALSE),0)</f>
        <v>18</v>
      </c>
      <c r="AN6" s="30">
        <f>IFERROR(VLOOKUP(E6,[1]dashboard_SYAIFUL!$E$4:$BD$76,50,FALSE),0)</f>
        <v>17</v>
      </c>
      <c r="AO6" s="30">
        <f>IFERROR(VLOOKUP('SUMMARY MT 2026'!$E6,[1]dashboard_SYAIFUL!$E$4:$CP$76,89,FALSE),0)</f>
        <v>12</v>
      </c>
      <c r="AP6" s="31">
        <f>IFERROR(VLOOKUP('SUMMARY MT 2026'!$E6,[1]dashboard_SYAIFUL!$E$4:$CP$76,90,FALSE),0)</f>
        <v>23</v>
      </c>
      <c r="AQ6" s="30"/>
      <c r="AR6" s="31">
        <f>35-Table2[[#This Row],[PARETO SKU MAR 2026]]</f>
        <v>35</v>
      </c>
      <c r="AS6" s="30"/>
      <c r="AT6" s="31">
        <f>35-Table2[[#This Row],[PARETO SKU MAR 2026]]</f>
        <v>35</v>
      </c>
      <c r="AU6" s="30"/>
      <c r="AV6" s="31">
        <f>35-Table2[[#This Row],[PARETO SKU MAR 2026]]</f>
        <v>35</v>
      </c>
      <c r="AW6" s="30"/>
      <c r="AX6" s="31">
        <f>35-Table2[[#This Row],[PARETO SKU MAR 2026]]</f>
        <v>35</v>
      </c>
      <c r="AY6" s="30"/>
      <c r="AZ6" s="31">
        <f>35-Table2[[#This Row],[PARETO SKU MAR 2026]]</f>
        <v>35</v>
      </c>
      <c r="BA6" s="30"/>
      <c r="BB6" s="31">
        <f>35-Table2[[#This Row],[PARETO SKU MAR 2026]]</f>
        <v>35</v>
      </c>
      <c r="BC6" s="30"/>
      <c r="BD6" s="31">
        <f>35-Table2[[#This Row],[PARETO SKU MAR 2026]]</f>
        <v>35</v>
      </c>
      <c r="BE6" s="30"/>
      <c r="BF6" s="31">
        <f>35-Table2[[#This Row],[PARETO SKU MAR 2026]]</f>
        <v>35</v>
      </c>
      <c r="BG6" s="30"/>
      <c r="BH6" s="31">
        <f>35-Table2[[#This Row],[PARETO SKU MAR 2026]]</f>
        <v>35</v>
      </c>
      <c r="BI6" s="30"/>
      <c r="BJ6" s="31">
        <f>35-Table2[[#This Row],[PARETO SKU MAR 2026]]</f>
        <v>35</v>
      </c>
      <c r="BL6" s="4"/>
    </row>
    <row r="7" spans="1:65" ht="27" customHeight="1" thickBot="1" x14ac:dyDescent="0.5">
      <c r="B7" s="45" t="s">
        <v>133</v>
      </c>
      <c r="C7" s="26">
        <f>RANK(IFERROR(VLOOKUP(Table2[[#This Row],[CUSTNO_DIST]],STM!B:C,2,FALSE),0),STM!$C$5:$C$65,0)</f>
        <v>4</v>
      </c>
      <c r="D7" s="46" t="s">
        <v>14</v>
      </c>
      <c r="E7" s="47" t="s">
        <v>15</v>
      </c>
      <c r="F7" s="32">
        <v>707434367.5441668</v>
      </c>
      <c r="G7" s="32">
        <v>58952863.9620139</v>
      </c>
      <c r="H7" s="26">
        <f t="shared" si="0"/>
        <v>4</v>
      </c>
      <c r="I7" s="32">
        <v>60925633.628472216</v>
      </c>
      <c r="J7" s="26">
        <f t="shared" si="1"/>
        <v>3</v>
      </c>
      <c r="K7" s="34">
        <f t="shared" si="2"/>
        <v>-3.2379961421302061E-2</v>
      </c>
      <c r="L7" s="34">
        <f>IFERROR(VLOOKUP(Table2[[#This Row],[CUST-GROUP]],$E$70:$K$88,7,FALSE),0)</f>
        <v>0.20819267436989897</v>
      </c>
      <c r="M7" s="34">
        <f>IFERROR(VLOOKUP(E7,STM!G:K,4,FALSE),0)/G7-1</f>
        <v>0.37385425398395156</v>
      </c>
      <c r="N7" s="34">
        <f>IFERROR(VLOOKUP('SUMMARY MT 2026'!$B7,$E$70:$M$88,8,FALSE),0)</f>
        <v>0.23890658941664045</v>
      </c>
      <c r="O7" s="34">
        <f>IFERROR(VLOOKUP(E7,STM!G:K,5,FALSE),0)/G7-1</f>
        <v>-0.30512535311014632</v>
      </c>
      <c r="P7" s="34">
        <f>IFERROR(VLOOKUP('SUMMARY MT 2026'!$B7,$E$70:$M$88,9,FALSE),0)</f>
        <v>-0.33936199861588745</v>
      </c>
      <c r="Q7" s="34"/>
      <c r="R7" s="34"/>
      <c r="S7" s="34"/>
      <c r="T7" s="34"/>
      <c r="U7" s="34"/>
      <c r="V7" s="34"/>
      <c r="W7" s="34"/>
      <c r="X7" s="34"/>
      <c r="Y7" s="34"/>
      <c r="Z7" s="34"/>
      <c r="AA7" s="34"/>
      <c r="AB7" s="34"/>
      <c r="AC7" s="34"/>
      <c r="AD7" s="34"/>
      <c r="AE7" s="34"/>
      <c r="AF7" s="34"/>
      <c r="AG7" s="34"/>
      <c r="AH7" s="34"/>
      <c r="AI7" s="34"/>
      <c r="AJ7" s="34"/>
      <c r="AK7" s="30">
        <f>IFERROR(VLOOKUP(E7,[1]dashboard_SYAIFUL!$E$4:$AZ$76,47,FALSE),0)</f>
        <v>23</v>
      </c>
      <c r="AL7" s="30">
        <f>IFERROR(VLOOKUP(E7,[1]dashboard_SYAIFUL!$E$4:$AZ$76,48,FALSE),0)</f>
        <v>12</v>
      </c>
      <c r="AM7" s="30">
        <f>IFERROR(VLOOKUP(E7,[1]dashboard_SYAIFUL!$E$4:$BD$76,49,FALSE),0)</f>
        <v>20</v>
      </c>
      <c r="AN7" s="30">
        <f>IFERROR(VLOOKUP(E7,[1]dashboard_SYAIFUL!$E$4:$BD$76,50,FALSE),0)</f>
        <v>15</v>
      </c>
      <c r="AO7" s="30">
        <f>IFERROR(VLOOKUP('SUMMARY MT 2026'!$E7,[1]dashboard_SYAIFUL!$E$4:$CP$76,89,FALSE),0)</f>
        <v>14</v>
      </c>
      <c r="AP7" s="31">
        <f>IFERROR(VLOOKUP('SUMMARY MT 2026'!$E7,[1]dashboard_SYAIFUL!$E$4:$CP$76,90,FALSE),0)</f>
        <v>21</v>
      </c>
      <c r="AQ7" s="30"/>
      <c r="AR7" s="31">
        <f>35-Table2[[#This Row],[PARETO SKU MAR 2026]]</f>
        <v>35</v>
      </c>
      <c r="AS7" s="30"/>
      <c r="AT7" s="31">
        <f>35-Table2[[#This Row],[PARETO SKU MAR 2026]]</f>
        <v>35</v>
      </c>
      <c r="AU7" s="30"/>
      <c r="AV7" s="31">
        <f>35-Table2[[#This Row],[PARETO SKU MAR 2026]]</f>
        <v>35</v>
      </c>
      <c r="AW7" s="30"/>
      <c r="AX7" s="31">
        <f>35-Table2[[#This Row],[PARETO SKU MAR 2026]]</f>
        <v>35</v>
      </c>
      <c r="AY7" s="30"/>
      <c r="AZ7" s="31">
        <f>35-Table2[[#This Row],[PARETO SKU MAR 2026]]</f>
        <v>35</v>
      </c>
      <c r="BA7" s="30"/>
      <c r="BB7" s="31">
        <f>35-Table2[[#This Row],[PARETO SKU MAR 2026]]</f>
        <v>35</v>
      </c>
      <c r="BC7" s="30"/>
      <c r="BD7" s="31">
        <f>35-Table2[[#This Row],[PARETO SKU MAR 2026]]</f>
        <v>35</v>
      </c>
      <c r="BE7" s="30"/>
      <c r="BF7" s="31">
        <f>35-Table2[[#This Row],[PARETO SKU MAR 2026]]</f>
        <v>35</v>
      </c>
      <c r="BG7" s="30"/>
      <c r="BH7" s="31">
        <f>35-Table2[[#This Row],[PARETO SKU MAR 2026]]</f>
        <v>35</v>
      </c>
      <c r="BI7" s="30"/>
      <c r="BJ7" s="31">
        <f>35-Table2[[#This Row],[PARETO SKU MAR 2026]]</f>
        <v>35</v>
      </c>
      <c r="BL7" s="4"/>
    </row>
    <row r="8" spans="1:65" ht="27" customHeight="1" thickBot="1" x14ac:dyDescent="0.5">
      <c r="B8" s="45" t="s">
        <v>133</v>
      </c>
      <c r="C8" s="26">
        <f>RANK(IFERROR(VLOOKUP(Table2[[#This Row],[CUSTNO_DIST]],STM!B:C,2,FALSE),0),STM!$C$5:$C$65,0)</f>
        <v>5</v>
      </c>
      <c r="D8" s="46" t="s">
        <v>16</v>
      </c>
      <c r="E8" s="47" t="s">
        <v>17</v>
      </c>
      <c r="F8" s="32">
        <v>633357195.75104177</v>
      </c>
      <c r="G8" s="32">
        <v>52779766.312586814</v>
      </c>
      <c r="H8" s="26">
        <f t="shared" si="0"/>
        <v>5</v>
      </c>
      <c r="I8" s="32">
        <v>37345714.423611082</v>
      </c>
      <c r="J8" s="26">
        <f t="shared" si="1"/>
        <v>7</v>
      </c>
      <c r="K8" s="34">
        <f t="shared" si="2"/>
        <v>0.41327504714216579</v>
      </c>
      <c r="L8" s="34">
        <f>IFERROR(VLOOKUP(Table2[[#This Row],[CUST-GROUP]],$E$70:$K$88,7,FALSE),0)</f>
        <v>0.20819267436989897</v>
      </c>
      <c r="M8" s="34">
        <f>IFERROR(VLOOKUP(E8,STM!G:K,4,FALSE),0)/G8-1</f>
        <v>0.16076100024129358</v>
      </c>
      <c r="N8" s="34">
        <f>IFERROR(VLOOKUP('SUMMARY MT 2026'!$B8,$E$70:$M$88,8,FALSE),0)</f>
        <v>0.23890658941664045</v>
      </c>
      <c r="O8" s="34">
        <f>IFERROR(VLOOKUP(E8,STM!G:K,5,FALSE),0)/G8-1</f>
        <v>1.7499817935777928E-2</v>
      </c>
      <c r="P8" s="34">
        <f>IFERROR(VLOOKUP('SUMMARY MT 2026'!$B8,$E$70:$M$88,9,FALSE),0)</f>
        <v>-0.33936199861588745</v>
      </c>
      <c r="Q8" s="34"/>
      <c r="R8" s="34"/>
      <c r="S8" s="34"/>
      <c r="T8" s="34"/>
      <c r="U8" s="34"/>
      <c r="V8" s="34"/>
      <c r="W8" s="34"/>
      <c r="X8" s="34"/>
      <c r="Y8" s="34"/>
      <c r="Z8" s="34"/>
      <c r="AA8" s="34"/>
      <c r="AB8" s="34"/>
      <c r="AC8" s="34"/>
      <c r="AD8" s="34"/>
      <c r="AE8" s="34"/>
      <c r="AF8" s="34"/>
      <c r="AG8" s="34"/>
      <c r="AH8" s="34"/>
      <c r="AI8" s="34"/>
      <c r="AJ8" s="34"/>
      <c r="AK8" s="30">
        <f>IFERROR(VLOOKUP(E8,[1]dashboard_SYAIFUL!$E$4:$AZ$76,47,FALSE),0)</f>
        <v>31</v>
      </c>
      <c r="AL8" s="30">
        <f>IFERROR(VLOOKUP(E8,[1]dashboard_SYAIFUL!$E$4:$AZ$76,48,FALSE),0)</f>
        <v>4</v>
      </c>
      <c r="AM8" s="30">
        <f>IFERROR(VLOOKUP(E8,[1]dashboard_SYAIFUL!$E$4:$BD$76,49,FALSE),0)</f>
        <v>17</v>
      </c>
      <c r="AN8" s="30">
        <f>IFERROR(VLOOKUP(E8,[1]dashboard_SYAIFUL!$E$4:$BD$76,50,FALSE),0)</f>
        <v>18</v>
      </c>
      <c r="AO8" s="30">
        <f>IFERROR(VLOOKUP('SUMMARY MT 2026'!$E8,[1]dashboard_SYAIFUL!$E$4:$CP$76,89,FALSE),0)</f>
        <v>15</v>
      </c>
      <c r="AP8" s="31">
        <f>IFERROR(VLOOKUP('SUMMARY MT 2026'!$E8,[1]dashboard_SYAIFUL!$E$4:$CP$76,90,FALSE),0)</f>
        <v>20</v>
      </c>
      <c r="AQ8" s="30"/>
      <c r="AR8" s="31">
        <f>35-Table2[[#This Row],[PARETO SKU MAR 2026]]</f>
        <v>35</v>
      </c>
      <c r="AS8" s="30"/>
      <c r="AT8" s="31">
        <f>35-Table2[[#This Row],[PARETO SKU MAR 2026]]</f>
        <v>35</v>
      </c>
      <c r="AU8" s="30"/>
      <c r="AV8" s="31">
        <f>35-Table2[[#This Row],[PARETO SKU MAR 2026]]</f>
        <v>35</v>
      </c>
      <c r="AW8" s="30"/>
      <c r="AX8" s="31">
        <f>35-Table2[[#This Row],[PARETO SKU MAR 2026]]</f>
        <v>35</v>
      </c>
      <c r="AY8" s="30"/>
      <c r="AZ8" s="31">
        <f>35-Table2[[#This Row],[PARETO SKU MAR 2026]]</f>
        <v>35</v>
      </c>
      <c r="BA8" s="30"/>
      <c r="BB8" s="31">
        <f>35-Table2[[#This Row],[PARETO SKU MAR 2026]]</f>
        <v>35</v>
      </c>
      <c r="BC8" s="30"/>
      <c r="BD8" s="31">
        <f>35-Table2[[#This Row],[PARETO SKU MAR 2026]]</f>
        <v>35</v>
      </c>
      <c r="BE8" s="30"/>
      <c r="BF8" s="31">
        <f>35-Table2[[#This Row],[PARETO SKU MAR 2026]]</f>
        <v>35</v>
      </c>
      <c r="BG8" s="30"/>
      <c r="BH8" s="31">
        <f>35-Table2[[#This Row],[PARETO SKU MAR 2026]]</f>
        <v>35</v>
      </c>
      <c r="BI8" s="30"/>
      <c r="BJ8" s="31">
        <f>35-Table2[[#This Row],[PARETO SKU MAR 2026]]</f>
        <v>35</v>
      </c>
      <c r="BL8" s="4"/>
    </row>
    <row r="9" spans="1:65" ht="27" customHeight="1" thickBot="1" x14ac:dyDescent="0.5">
      <c r="B9" s="45" t="s">
        <v>133</v>
      </c>
      <c r="C9" s="26">
        <f>RANK(IFERROR(VLOOKUP(Table2[[#This Row],[CUSTNO_DIST]],STM!B:C,2,FALSE),0),STM!$C$5:$C$65,0)</f>
        <v>7</v>
      </c>
      <c r="D9" s="46" t="s">
        <v>18</v>
      </c>
      <c r="E9" s="47" t="s">
        <v>19</v>
      </c>
      <c r="F9" s="32">
        <v>575894152.24895823</v>
      </c>
      <c r="G9" s="32">
        <v>47991179.35407985</v>
      </c>
      <c r="H9" s="26">
        <f t="shared" si="0"/>
        <v>6</v>
      </c>
      <c r="I9" s="32">
        <v>44011964.15625</v>
      </c>
      <c r="J9" s="26">
        <f t="shared" si="1"/>
        <v>5</v>
      </c>
      <c r="K9" s="34">
        <f t="shared" si="2"/>
        <v>9.0412124841848795E-2</v>
      </c>
      <c r="L9" s="34">
        <f>IFERROR(VLOOKUP(Table2[[#This Row],[CUST-GROUP]],$E$70:$K$88,7,FALSE),0)</f>
        <v>0.20819267436989897</v>
      </c>
      <c r="M9" s="34">
        <f>IFERROR(VLOOKUP(E9,STM!G:K,4,FALSE),0)/G9-1</f>
        <v>0.20743876675430872</v>
      </c>
      <c r="N9" s="34">
        <f>IFERROR(VLOOKUP('SUMMARY MT 2026'!$B9,$E$70:$M$88,8,FALSE),0)</f>
        <v>0.23890658941664045</v>
      </c>
      <c r="O9" s="34">
        <f>IFERROR(VLOOKUP(E9,STM!G:K,5,FALSE),0)/G9-1</f>
        <v>-0.29006309980161904</v>
      </c>
      <c r="P9" s="34">
        <f>IFERROR(VLOOKUP('SUMMARY MT 2026'!$B9,$E$70:$M$88,9,FALSE),0)</f>
        <v>-0.33936199861588745</v>
      </c>
      <c r="Q9" s="34"/>
      <c r="R9" s="34"/>
      <c r="S9" s="34"/>
      <c r="T9" s="34"/>
      <c r="U9" s="34"/>
      <c r="V9" s="34"/>
      <c r="W9" s="34"/>
      <c r="X9" s="34"/>
      <c r="Y9" s="34"/>
      <c r="Z9" s="34"/>
      <c r="AA9" s="34"/>
      <c r="AB9" s="34"/>
      <c r="AC9" s="34"/>
      <c r="AD9" s="34"/>
      <c r="AE9" s="34"/>
      <c r="AF9" s="34"/>
      <c r="AG9" s="34"/>
      <c r="AH9" s="34"/>
      <c r="AI9" s="34"/>
      <c r="AJ9" s="34"/>
      <c r="AK9" s="30">
        <f>IFERROR(VLOOKUP(E9,[1]dashboard_SYAIFUL!$E$4:$AZ$76,47,FALSE),0)</f>
        <v>25</v>
      </c>
      <c r="AL9" s="30">
        <f>IFERROR(VLOOKUP(E9,[1]dashboard_SYAIFUL!$E$4:$AZ$76,48,FALSE),0)</f>
        <v>10</v>
      </c>
      <c r="AM9" s="30">
        <f>IFERROR(VLOOKUP(E9,[1]dashboard_SYAIFUL!$E$4:$BD$76,49,FALSE),0)</f>
        <v>18</v>
      </c>
      <c r="AN9" s="30">
        <f>IFERROR(VLOOKUP(E9,[1]dashboard_SYAIFUL!$E$4:$BD$76,50,FALSE),0)</f>
        <v>17</v>
      </c>
      <c r="AO9" s="30">
        <f>IFERROR(VLOOKUP('SUMMARY MT 2026'!$E9,[1]dashboard_SYAIFUL!$E$4:$CP$76,89,FALSE),0)</f>
        <v>15</v>
      </c>
      <c r="AP9" s="31">
        <f>IFERROR(VLOOKUP('SUMMARY MT 2026'!$E9,[1]dashboard_SYAIFUL!$E$4:$CP$76,90,FALSE),0)</f>
        <v>20</v>
      </c>
      <c r="AQ9" s="30"/>
      <c r="AR9" s="31">
        <f>35-Table2[[#This Row],[PARETO SKU MAR 2026]]</f>
        <v>35</v>
      </c>
      <c r="AS9" s="30"/>
      <c r="AT9" s="31">
        <f>35-Table2[[#This Row],[PARETO SKU MAR 2026]]</f>
        <v>35</v>
      </c>
      <c r="AU9" s="30"/>
      <c r="AV9" s="31">
        <f>35-Table2[[#This Row],[PARETO SKU MAR 2026]]</f>
        <v>35</v>
      </c>
      <c r="AW9" s="30"/>
      <c r="AX9" s="31">
        <f>35-Table2[[#This Row],[PARETO SKU MAR 2026]]</f>
        <v>35</v>
      </c>
      <c r="AY9" s="30"/>
      <c r="AZ9" s="31">
        <f>35-Table2[[#This Row],[PARETO SKU MAR 2026]]</f>
        <v>35</v>
      </c>
      <c r="BA9" s="30"/>
      <c r="BB9" s="31">
        <f>35-Table2[[#This Row],[PARETO SKU MAR 2026]]</f>
        <v>35</v>
      </c>
      <c r="BC9" s="30"/>
      <c r="BD9" s="31">
        <f>35-Table2[[#This Row],[PARETO SKU MAR 2026]]</f>
        <v>35</v>
      </c>
      <c r="BE9" s="30"/>
      <c r="BF9" s="31">
        <f>35-Table2[[#This Row],[PARETO SKU MAR 2026]]</f>
        <v>35</v>
      </c>
      <c r="BG9" s="30"/>
      <c r="BH9" s="31">
        <f>35-Table2[[#This Row],[PARETO SKU MAR 2026]]</f>
        <v>35</v>
      </c>
      <c r="BI9" s="30"/>
      <c r="BJ9" s="31">
        <f>35-Table2[[#This Row],[PARETO SKU MAR 2026]]</f>
        <v>35</v>
      </c>
      <c r="BL9" s="4"/>
    </row>
    <row r="10" spans="1:65" ht="27" customHeight="1" thickBot="1" x14ac:dyDescent="0.5">
      <c r="B10" s="45" t="s">
        <v>138</v>
      </c>
      <c r="C10" s="26">
        <f>RANK(IFERROR(VLOOKUP(Table2[[#This Row],[CUSTNO_DIST]],STM!B:C,2,FALSE),0),STM!$C$5:$C$65,0)</f>
        <v>3</v>
      </c>
      <c r="D10" s="46" t="s">
        <v>22</v>
      </c>
      <c r="E10" s="47" t="s">
        <v>23</v>
      </c>
      <c r="F10" s="32">
        <v>555624624.05708349</v>
      </c>
      <c r="G10" s="32">
        <v>46302052.004756957</v>
      </c>
      <c r="H10" s="26">
        <f t="shared" si="0"/>
        <v>7</v>
      </c>
      <c r="I10" s="32">
        <v>40748849.550347209</v>
      </c>
      <c r="J10" s="26">
        <f t="shared" si="1"/>
        <v>6</v>
      </c>
      <c r="K10" s="34">
        <f t="shared" si="2"/>
        <v>0.13627875426393321</v>
      </c>
      <c r="L10" s="34">
        <f>IFERROR(VLOOKUP(Table2[[#This Row],[CUST-GROUP]],$E$70:$K$88,7,FALSE),0)</f>
        <v>4.9144122299097592E-2</v>
      </c>
      <c r="M10" s="34">
        <f>IFERROR(VLOOKUP(E10,STM!G:K,4,FALSE),0)/G10-1</f>
        <v>1.3457367031236847</v>
      </c>
      <c r="N10" s="34">
        <f>IFERROR(VLOOKUP('SUMMARY MT 2026'!$B10,$E$70:$M$88,8,FALSE),0)</f>
        <v>0.6856309844288877</v>
      </c>
      <c r="O10" s="34">
        <f>IFERROR(VLOOKUP(E10,STM!G:K,5,FALSE),0)/G10-1</f>
        <v>-0.61183997702405168</v>
      </c>
      <c r="P10" s="34">
        <f>IFERROR(VLOOKUP('SUMMARY MT 2026'!$B10,$E$70:$M$88,9,FALSE),0)</f>
        <v>-0.53480502716537437</v>
      </c>
      <c r="Q10" s="34"/>
      <c r="R10" s="34"/>
      <c r="S10" s="34"/>
      <c r="T10" s="34"/>
      <c r="U10" s="34"/>
      <c r="V10" s="34"/>
      <c r="W10" s="34"/>
      <c r="X10" s="34"/>
      <c r="Y10" s="34"/>
      <c r="Z10" s="34"/>
      <c r="AA10" s="34"/>
      <c r="AB10" s="34"/>
      <c r="AC10" s="34"/>
      <c r="AD10" s="34"/>
      <c r="AE10" s="34"/>
      <c r="AF10" s="34"/>
      <c r="AG10" s="34"/>
      <c r="AH10" s="34"/>
      <c r="AI10" s="34"/>
      <c r="AJ10" s="34"/>
      <c r="AK10" s="30">
        <f>IFERROR(VLOOKUP(E10,[1]dashboard_SYAIFUL!$E$4:$AZ$76,47,FALSE),0)</f>
        <v>31</v>
      </c>
      <c r="AL10" s="30">
        <f>IFERROR(VLOOKUP(E10,[1]dashboard_SYAIFUL!$E$4:$AZ$76,48,FALSE),0)</f>
        <v>4</v>
      </c>
      <c r="AM10" s="30">
        <f>IFERROR(VLOOKUP(E10,[1]dashboard_SYAIFUL!$E$4:$BD$76,49,FALSE),0)</f>
        <v>21</v>
      </c>
      <c r="AN10" s="30">
        <f>IFERROR(VLOOKUP(E10,[1]dashboard_SYAIFUL!$E$4:$BD$76,50,FALSE),0)</f>
        <v>14</v>
      </c>
      <c r="AO10" s="30">
        <f>IFERROR(VLOOKUP('SUMMARY MT 2026'!$E10,[1]dashboard_SYAIFUL!$E$4:$CP$76,89,FALSE),0)</f>
        <v>12</v>
      </c>
      <c r="AP10" s="31">
        <f>IFERROR(VLOOKUP('SUMMARY MT 2026'!$E10,[1]dashboard_SYAIFUL!$E$4:$CP$76,90,FALSE),0)</f>
        <v>23</v>
      </c>
      <c r="AQ10" s="30"/>
      <c r="AR10" s="31">
        <f>35-Table2[[#This Row],[PARETO SKU MAR 2026]]</f>
        <v>35</v>
      </c>
      <c r="AS10" s="30"/>
      <c r="AT10" s="31">
        <f>35-Table2[[#This Row],[PARETO SKU MAR 2026]]</f>
        <v>35</v>
      </c>
      <c r="AU10" s="30"/>
      <c r="AV10" s="31">
        <f>35-Table2[[#This Row],[PARETO SKU MAR 2026]]</f>
        <v>35</v>
      </c>
      <c r="AW10" s="30"/>
      <c r="AX10" s="31">
        <f>35-Table2[[#This Row],[PARETO SKU MAR 2026]]</f>
        <v>35</v>
      </c>
      <c r="AY10" s="30"/>
      <c r="AZ10" s="31">
        <f>35-Table2[[#This Row],[PARETO SKU MAR 2026]]</f>
        <v>35</v>
      </c>
      <c r="BA10" s="30"/>
      <c r="BB10" s="31">
        <f>35-Table2[[#This Row],[PARETO SKU MAR 2026]]</f>
        <v>35</v>
      </c>
      <c r="BC10" s="30"/>
      <c r="BD10" s="31">
        <f>35-Table2[[#This Row],[PARETO SKU MAR 2026]]</f>
        <v>35</v>
      </c>
      <c r="BE10" s="30"/>
      <c r="BF10" s="31">
        <f>35-Table2[[#This Row],[PARETO SKU MAR 2026]]</f>
        <v>35</v>
      </c>
      <c r="BG10" s="30"/>
      <c r="BH10" s="31">
        <f>35-Table2[[#This Row],[PARETO SKU MAR 2026]]</f>
        <v>35</v>
      </c>
      <c r="BI10" s="30"/>
      <c r="BJ10" s="31">
        <f>35-Table2[[#This Row],[PARETO SKU MAR 2026]]</f>
        <v>35</v>
      </c>
      <c r="BL10" s="4"/>
    </row>
    <row r="11" spans="1:65" ht="27" customHeight="1" thickBot="1" x14ac:dyDescent="0.5">
      <c r="B11" s="45" t="s">
        <v>136</v>
      </c>
      <c r="C11" s="26">
        <f>RANK(IFERROR(VLOOKUP(Table2[[#This Row],[CUSTNO_DIST]],STM!B:C,2,FALSE),0),STM!$C$5:$C$65,0)</f>
        <v>9</v>
      </c>
      <c r="D11" s="46" t="s">
        <v>20</v>
      </c>
      <c r="E11" s="47" t="s">
        <v>21</v>
      </c>
      <c r="F11" s="32">
        <v>549867111.18541682</v>
      </c>
      <c r="G11" s="32">
        <v>45822259.265451401</v>
      </c>
      <c r="H11" s="26">
        <f t="shared" si="0"/>
        <v>8</v>
      </c>
      <c r="I11" s="32">
        <v>29924627.036458332</v>
      </c>
      <c r="J11" s="26">
        <f t="shared" si="1"/>
        <v>10</v>
      </c>
      <c r="K11" s="34">
        <f t="shared" si="2"/>
        <v>0.53125581848102454</v>
      </c>
      <c r="L11" s="34">
        <f>IFERROR(VLOOKUP(Table2[[#This Row],[CUST-GROUP]],$E$70:$K$88,7,FALSE),0)</f>
        <v>0.1461552607021519</v>
      </c>
      <c r="M11" s="34">
        <f>IFERROR(VLOOKUP(E11,STM!G:K,4,FALSE),0)/G11-1</f>
        <v>-0.11889074549209189</v>
      </c>
      <c r="N11" s="34">
        <f>IFERROR(VLOOKUP('SUMMARY MT 2026'!$B11,$E$70:$M$88,8,FALSE),0)</f>
        <v>-7.0447778588230814E-2</v>
      </c>
      <c r="O11" s="34">
        <f>IFERROR(VLOOKUP(E11,STM!G:K,5,FALSE),0)/G11-1</f>
        <v>-0.42988851376438908</v>
      </c>
      <c r="P11" s="34">
        <f>IFERROR(VLOOKUP('SUMMARY MT 2026'!$B11,$E$70:$M$88,9,FALSE),0)</f>
        <v>-0.62624123157423972</v>
      </c>
      <c r="Q11" s="34"/>
      <c r="R11" s="34"/>
      <c r="S11" s="34"/>
      <c r="T11" s="34"/>
      <c r="U11" s="34"/>
      <c r="V11" s="34"/>
      <c r="W11" s="34"/>
      <c r="X11" s="34"/>
      <c r="Y11" s="34"/>
      <c r="Z11" s="34"/>
      <c r="AA11" s="34"/>
      <c r="AB11" s="34"/>
      <c r="AC11" s="34"/>
      <c r="AD11" s="34"/>
      <c r="AE11" s="34"/>
      <c r="AF11" s="34"/>
      <c r="AG11" s="34"/>
      <c r="AH11" s="34"/>
      <c r="AI11" s="34"/>
      <c r="AJ11" s="34"/>
      <c r="AK11" s="30">
        <f>IFERROR(VLOOKUP(E11,[1]dashboard_SYAIFUL!$E$4:$AZ$76,47,FALSE),0)</f>
        <v>26</v>
      </c>
      <c r="AL11" s="30">
        <f>IFERROR(VLOOKUP(E11,[1]dashboard_SYAIFUL!$E$4:$AZ$76,48,FALSE),0)</f>
        <v>9</v>
      </c>
      <c r="AM11" s="30">
        <f>IFERROR(VLOOKUP(E11,[1]dashboard_SYAIFUL!$E$4:$BD$76,49,FALSE),0)</f>
        <v>15</v>
      </c>
      <c r="AN11" s="30">
        <f>IFERROR(VLOOKUP(E11,[1]dashboard_SYAIFUL!$E$4:$BD$76,50,FALSE),0)</f>
        <v>20</v>
      </c>
      <c r="AO11" s="30">
        <f>IFERROR(VLOOKUP('SUMMARY MT 2026'!$E11,[1]dashboard_SYAIFUL!$E$4:$CP$76,89,FALSE),0)</f>
        <v>10</v>
      </c>
      <c r="AP11" s="31">
        <f>IFERROR(VLOOKUP('SUMMARY MT 2026'!$E11,[1]dashboard_SYAIFUL!$E$4:$CP$76,90,FALSE),0)</f>
        <v>25</v>
      </c>
      <c r="AQ11" s="30"/>
      <c r="AR11" s="31">
        <f>35-Table2[[#This Row],[PARETO SKU MAR 2026]]</f>
        <v>35</v>
      </c>
      <c r="AS11" s="30"/>
      <c r="AT11" s="31">
        <f>35-Table2[[#This Row],[PARETO SKU MAR 2026]]</f>
        <v>35</v>
      </c>
      <c r="AU11" s="30"/>
      <c r="AV11" s="31">
        <f>35-Table2[[#This Row],[PARETO SKU MAR 2026]]</f>
        <v>35</v>
      </c>
      <c r="AW11" s="30"/>
      <c r="AX11" s="31">
        <f>35-Table2[[#This Row],[PARETO SKU MAR 2026]]</f>
        <v>35</v>
      </c>
      <c r="AY11" s="30"/>
      <c r="AZ11" s="31">
        <f>35-Table2[[#This Row],[PARETO SKU MAR 2026]]</f>
        <v>35</v>
      </c>
      <c r="BA11" s="30"/>
      <c r="BB11" s="31">
        <f>35-Table2[[#This Row],[PARETO SKU MAR 2026]]</f>
        <v>35</v>
      </c>
      <c r="BC11" s="30"/>
      <c r="BD11" s="31">
        <f>35-Table2[[#This Row],[PARETO SKU MAR 2026]]</f>
        <v>35</v>
      </c>
      <c r="BE11" s="30"/>
      <c r="BF11" s="31">
        <f>35-Table2[[#This Row],[PARETO SKU MAR 2026]]</f>
        <v>35</v>
      </c>
      <c r="BG11" s="30"/>
      <c r="BH11" s="31">
        <f>35-Table2[[#This Row],[PARETO SKU MAR 2026]]</f>
        <v>35</v>
      </c>
      <c r="BI11" s="30"/>
      <c r="BJ11" s="31">
        <f>35-Table2[[#This Row],[PARETO SKU MAR 2026]]</f>
        <v>35</v>
      </c>
      <c r="BL11" s="4"/>
    </row>
    <row r="12" spans="1:65" ht="27" customHeight="1" thickBot="1" x14ac:dyDescent="0.5">
      <c r="B12" s="45" t="s">
        <v>137</v>
      </c>
      <c r="C12" s="26">
        <f>RANK(IFERROR(VLOOKUP(Table2[[#This Row],[CUSTNO_DIST]],STM!B:C,2,FALSE),0),STM!$C$5:$C$65,0)</f>
        <v>13</v>
      </c>
      <c r="D12" s="46" t="s">
        <v>24</v>
      </c>
      <c r="E12" s="47" t="s">
        <v>25</v>
      </c>
      <c r="F12" s="32">
        <v>428737203.9802084</v>
      </c>
      <c r="G12" s="32">
        <v>35728100.331684031</v>
      </c>
      <c r="H12" s="26">
        <f t="shared" si="0"/>
        <v>9</v>
      </c>
      <c r="I12" s="32">
        <v>30554785.791666672</v>
      </c>
      <c r="J12" s="26">
        <f t="shared" si="1"/>
        <v>9</v>
      </c>
      <c r="K12" s="34">
        <f t="shared" si="2"/>
        <v>0.16931274122786677</v>
      </c>
      <c r="L12" s="34">
        <f>IFERROR(VLOOKUP(Table2[[#This Row],[CUST-GROUP]],$E$70:$K$88,7,FALSE),0)</f>
        <v>0.31105346786620669</v>
      </c>
      <c r="M12" s="34">
        <f>IFERROR(VLOOKUP(E12,STM!G:K,4,FALSE),0)/G12-1</f>
        <v>-0.14045486409254559</v>
      </c>
      <c r="N12" s="34">
        <f>IFERROR(VLOOKUP('SUMMARY MT 2026'!$B12,$E$70:$M$88,8,FALSE),0)</f>
        <v>-0.20246099853772914</v>
      </c>
      <c r="O12" s="34">
        <f>IFERROR(VLOOKUP(E12,STM!G:K,5,FALSE),0)/G12-1</f>
        <v>-0.48677444986752816</v>
      </c>
      <c r="P12" s="34">
        <f>IFERROR(VLOOKUP('SUMMARY MT 2026'!$B12,$E$70:$M$88,9,FALSE),0)</f>
        <v>-0.48667136440256498</v>
      </c>
      <c r="Q12" s="34"/>
      <c r="R12" s="34"/>
      <c r="S12" s="34"/>
      <c r="T12" s="34"/>
      <c r="U12" s="34"/>
      <c r="V12" s="34"/>
      <c r="W12" s="34"/>
      <c r="X12" s="34"/>
      <c r="Y12" s="34"/>
      <c r="Z12" s="34"/>
      <c r="AA12" s="34"/>
      <c r="AB12" s="34"/>
      <c r="AC12" s="34"/>
      <c r="AD12" s="34"/>
      <c r="AE12" s="34"/>
      <c r="AF12" s="34"/>
      <c r="AG12" s="34"/>
      <c r="AH12" s="34"/>
      <c r="AI12" s="34"/>
      <c r="AJ12" s="34"/>
      <c r="AK12" s="30">
        <f>IFERROR(VLOOKUP(E12,[1]dashboard_SYAIFUL!$E$4:$AZ$76,47,FALSE),0)</f>
        <v>31</v>
      </c>
      <c r="AL12" s="30">
        <f>IFERROR(VLOOKUP(E12,[1]dashboard_SYAIFUL!$E$4:$AZ$76,48,FALSE),0)</f>
        <v>4</v>
      </c>
      <c r="AM12" s="30">
        <f>IFERROR(VLOOKUP(E12,[1]dashboard_SYAIFUL!$E$4:$BD$76,49,FALSE),0)</f>
        <v>17</v>
      </c>
      <c r="AN12" s="30">
        <f>IFERROR(VLOOKUP(E12,[1]dashboard_SYAIFUL!$E$4:$BD$76,50,FALSE),0)</f>
        <v>18</v>
      </c>
      <c r="AO12" s="30">
        <f>IFERROR(VLOOKUP('SUMMARY MT 2026'!$E12,[1]dashboard_SYAIFUL!$E$4:$CP$76,89,FALSE),0)</f>
        <v>15</v>
      </c>
      <c r="AP12" s="31">
        <f>IFERROR(VLOOKUP('SUMMARY MT 2026'!$E12,[1]dashboard_SYAIFUL!$E$4:$CP$76,90,FALSE),0)</f>
        <v>20</v>
      </c>
      <c r="AQ12" s="30"/>
      <c r="AR12" s="31">
        <f>35-Table2[[#This Row],[PARETO SKU MAR 2026]]</f>
        <v>35</v>
      </c>
      <c r="AS12" s="30"/>
      <c r="AT12" s="31">
        <f>35-Table2[[#This Row],[PARETO SKU MAR 2026]]</f>
        <v>35</v>
      </c>
      <c r="AU12" s="30"/>
      <c r="AV12" s="31">
        <f>35-Table2[[#This Row],[PARETO SKU MAR 2026]]</f>
        <v>35</v>
      </c>
      <c r="AW12" s="30"/>
      <c r="AX12" s="31">
        <f>35-Table2[[#This Row],[PARETO SKU MAR 2026]]</f>
        <v>35</v>
      </c>
      <c r="AY12" s="30"/>
      <c r="AZ12" s="31">
        <f>35-Table2[[#This Row],[PARETO SKU MAR 2026]]</f>
        <v>35</v>
      </c>
      <c r="BA12" s="30"/>
      <c r="BB12" s="31">
        <f>35-Table2[[#This Row],[PARETO SKU MAR 2026]]</f>
        <v>35</v>
      </c>
      <c r="BC12" s="30"/>
      <c r="BD12" s="31">
        <f>35-Table2[[#This Row],[PARETO SKU MAR 2026]]</f>
        <v>35</v>
      </c>
      <c r="BE12" s="30"/>
      <c r="BF12" s="31">
        <f>35-Table2[[#This Row],[PARETO SKU MAR 2026]]</f>
        <v>35</v>
      </c>
      <c r="BG12" s="30"/>
      <c r="BH12" s="31">
        <f>35-Table2[[#This Row],[PARETO SKU MAR 2026]]</f>
        <v>35</v>
      </c>
      <c r="BI12" s="30"/>
      <c r="BJ12" s="31">
        <f>35-Table2[[#This Row],[PARETO SKU MAR 2026]]</f>
        <v>35</v>
      </c>
      <c r="BL12" s="4"/>
    </row>
    <row r="13" spans="1:65" ht="27" customHeight="1" thickBot="1" x14ac:dyDescent="0.5">
      <c r="B13" s="45" t="s">
        <v>142</v>
      </c>
      <c r="C13" s="26">
        <f>RANK(IFERROR(VLOOKUP(Table2[[#This Row],[CUSTNO_DIST]],STM!B:C,2,FALSE),0),STM!$C$5:$C$65,0)</f>
        <v>12</v>
      </c>
      <c r="D13" s="46" t="s">
        <v>26</v>
      </c>
      <c r="E13" s="47" t="s">
        <v>27</v>
      </c>
      <c r="F13" s="32">
        <v>414436859.07864571</v>
      </c>
      <c r="G13" s="32">
        <v>34536404.923220478</v>
      </c>
      <c r="H13" s="26">
        <f t="shared" si="0"/>
        <v>10</v>
      </c>
      <c r="I13" s="32">
        <v>28966063.23495369</v>
      </c>
      <c r="J13" s="26">
        <f t="shared" si="1"/>
        <v>11</v>
      </c>
      <c r="K13" s="34">
        <f t="shared" si="2"/>
        <v>0.19230579050676755</v>
      </c>
      <c r="L13" s="34">
        <f>IFERROR(VLOOKUP(Table2[[#This Row],[CUST-GROUP]],$E$70:$K$88,7,FALSE),0)</f>
        <v>0.19230579050676755</v>
      </c>
      <c r="M13" s="34">
        <f>IFERROR(VLOOKUP(E13,STM!G:K,4,FALSE),0)/G13-1</f>
        <v>4.4488562117384944E-2</v>
      </c>
      <c r="N13" s="34">
        <f>IFERROR(VLOOKUP('SUMMARY MT 2026'!$B13,$E$70:$M$88,8,FALSE),0)</f>
        <v>4.4488562117384944E-2</v>
      </c>
      <c r="O13" s="34">
        <f>IFERROR(VLOOKUP(E13,STM!G:K,5,FALSE),0)/G13-1</f>
        <v>-0.60922819545409324</v>
      </c>
      <c r="P13" s="34">
        <f>IFERROR(VLOOKUP('SUMMARY MT 2026'!$B13,$E$70:$M$88,9,FALSE),0)</f>
        <v>-0.60922819545409324</v>
      </c>
      <c r="Q13" s="34"/>
      <c r="R13" s="34"/>
      <c r="S13" s="34"/>
      <c r="T13" s="34"/>
      <c r="U13" s="34"/>
      <c r="V13" s="34"/>
      <c r="W13" s="34"/>
      <c r="X13" s="34"/>
      <c r="Y13" s="34"/>
      <c r="Z13" s="34"/>
      <c r="AA13" s="34"/>
      <c r="AB13" s="34"/>
      <c r="AC13" s="34"/>
      <c r="AD13" s="34"/>
      <c r="AE13" s="34"/>
      <c r="AF13" s="34"/>
      <c r="AG13" s="34"/>
      <c r="AH13" s="34"/>
      <c r="AI13" s="34"/>
      <c r="AJ13" s="34"/>
      <c r="AK13" s="30">
        <f>IFERROR(VLOOKUP(E13,[1]dashboard_SYAIFUL!$E$4:$AZ$76,47,FALSE),0)</f>
        <v>23</v>
      </c>
      <c r="AL13" s="30">
        <f>IFERROR(VLOOKUP(E13,[1]dashboard_SYAIFUL!$E$4:$AZ$76,48,FALSE),0)</f>
        <v>12</v>
      </c>
      <c r="AM13" s="30">
        <f>IFERROR(VLOOKUP(E13,[1]dashboard_SYAIFUL!$E$4:$BD$76,49,FALSE),0)</f>
        <v>18</v>
      </c>
      <c r="AN13" s="30">
        <f>IFERROR(VLOOKUP(E13,[1]dashboard_SYAIFUL!$E$4:$BD$76,50,FALSE),0)</f>
        <v>17</v>
      </c>
      <c r="AO13" s="30">
        <f>IFERROR(VLOOKUP('SUMMARY MT 2026'!$E13,[1]dashboard_SYAIFUL!$E$4:$CP$76,89,FALSE),0)</f>
        <v>15</v>
      </c>
      <c r="AP13" s="31">
        <f>IFERROR(VLOOKUP('SUMMARY MT 2026'!$E13,[1]dashboard_SYAIFUL!$E$4:$CP$76,90,FALSE),0)</f>
        <v>20</v>
      </c>
      <c r="AQ13" s="30"/>
      <c r="AR13" s="31">
        <f>35-Table2[[#This Row],[PARETO SKU MAR 2026]]</f>
        <v>35</v>
      </c>
      <c r="AS13" s="30"/>
      <c r="AT13" s="31">
        <f>35-Table2[[#This Row],[PARETO SKU MAR 2026]]</f>
        <v>35</v>
      </c>
      <c r="AU13" s="30"/>
      <c r="AV13" s="31">
        <f>35-Table2[[#This Row],[PARETO SKU MAR 2026]]</f>
        <v>35</v>
      </c>
      <c r="AW13" s="30"/>
      <c r="AX13" s="31">
        <f>35-Table2[[#This Row],[PARETO SKU MAR 2026]]</f>
        <v>35</v>
      </c>
      <c r="AY13" s="30"/>
      <c r="AZ13" s="31">
        <f>35-Table2[[#This Row],[PARETO SKU MAR 2026]]</f>
        <v>35</v>
      </c>
      <c r="BA13" s="30"/>
      <c r="BB13" s="31">
        <f>35-Table2[[#This Row],[PARETO SKU MAR 2026]]</f>
        <v>35</v>
      </c>
      <c r="BC13" s="30"/>
      <c r="BD13" s="31">
        <f>35-Table2[[#This Row],[PARETO SKU MAR 2026]]</f>
        <v>35</v>
      </c>
      <c r="BE13" s="30"/>
      <c r="BF13" s="31">
        <f>35-Table2[[#This Row],[PARETO SKU MAR 2026]]</f>
        <v>35</v>
      </c>
      <c r="BG13" s="30"/>
      <c r="BH13" s="31">
        <f>35-Table2[[#This Row],[PARETO SKU MAR 2026]]</f>
        <v>35</v>
      </c>
      <c r="BI13" s="30"/>
      <c r="BJ13" s="31">
        <f>35-Table2[[#This Row],[PARETO SKU MAR 2026]]</f>
        <v>35</v>
      </c>
      <c r="BL13" s="4"/>
    </row>
    <row r="14" spans="1:65" ht="27" customHeight="1" thickBot="1" x14ac:dyDescent="0.5">
      <c r="B14" s="45" t="s">
        <v>133</v>
      </c>
      <c r="C14" s="26">
        <f>RANK(IFERROR(VLOOKUP(Table2[[#This Row],[CUSTNO_DIST]],STM!B:C,2,FALSE),0),STM!$C$5:$C$65,0)</f>
        <v>6</v>
      </c>
      <c r="D14" s="46" t="s">
        <v>34</v>
      </c>
      <c r="E14" s="47" t="s">
        <v>35</v>
      </c>
      <c r="F14" s="32">
        <v>392057979.23187494</v>
      </c>
      <c r="G14" s="32">
        <v>32671498.269322913</v>
      </c>
      <c r="H14" s="26">
        <f t="shared" si="0"/>
        <v>11</v>
      </c>
      <c r="I14" s="32">
        <v>0</v>
      </c>
      <c r="J14" s="26">
        <f t="shared" si="1"/>
        <v>58</v>
      </c>
      <c r="K14" s="34">
        <f>IFERROR(G14/I14-1,1)</f>
        <v>1</v>
      </c>
      <c r="L14" s="34">
        <f>IFERROR(VLOOKUP(Table2[[#This Row],[CUST-GROUP]],$E$70:$K$88,7,FALSE),0)</f>
        <v>0.20819267436989897</v>
      </c>
      <c r="M14" s="34">
        <f>IFERROR(VLOOKUP(E14,STM!G:K,4,FALSE),0)/G14-1</f>
        <v>1.5031723159231425</v>
      </c>
      <c r="N14" s="34">
        <f>IFERROR(VLOOKUP('SUMMARY MT 2026'!$B14,$E$70:$M$88,8,FALSE),0)</f>
        <v>0.23890658941664045</v>
      </c>
      <c r="O14" s="34">
        <f>IFERROR(VLOOKUP(E14,STM!G:K,5,FALSE),0)/G14-1</f>
        <v>-0.68234137062073941</v>
      </c>
      <c r="P14" s="34">
        <f>IFERROR(VLOOKUP('SUMMARY MT 2026'!$B14,$E$70:$M$88,9,FALSE),0)</f>
        <v>-0.33936199861588745</v>
      </c>
      <c r="Q14" s="34"/>
      <c r="R14" s="34"/>
      <c r="S14" s="34"/>
      <c r="T14" s="34"/>
      <c r="U14" s="34"/>
      <c r="V14" s="34"/>
      <c r="W14" s="34"/>
      <c r="X14" s="34"/>
      <c r="Y14" s="34"/>
      <c r="Z14" s="34"/>
      <c r="AA14" s="34"/>
      <c r="AB14" s="34"/>
      <c r="AC14" s="34"/>
      <c r="AD14" s="34"/>
      <c r="AE14" s="34"/>
      <c r="AF14" s="34"/>
      <c r="AG14" s="34"/>
      <c r="AH14" s="34"/>
      <c r="AI14" s="34"/>
      <c r="AJ14" s="34"/>
      <c r="AK14" s="30">
        <f>IFERROR(VLOOKUP(E14,[1]dashboard_SYAIFUL!$E$4:$AZ$76,47,FALSE),0)</f>
        <v>29</v>
      </c>
      <c r="AL14" s="30">
        <f>IFERROR(VLOOKUP(E14,[1]dashboard_SYAIFUL!$E$4:$AZ$76,48,FALSE),0)</f>
        <v>6</v>
      </c>
      <c r="AM14" s="30">
        <f>IFERROR(VLOOKUP(E14,[1]dashboard_SYAIFUL!$E$4:$BD$76,49,FALSE),0)</f>
        <v>12</v>
      </c>
      <c r="AN14" s="30">
        <f>IFERROR(VLOOKUP(E14,[1]dashboard_SYAIFUL!$E$4:$BD$76,50,FALSE),0)</f>
        <v>23</v>
      </c>
      <c r="AO14" s="30">
        <f>IFERROR(VLOOKUP('SUMMARY MT 2026'!$E14,[1]dashboard_SYAIFUL!$E$4:$CP$76,89,FALSE),0)</f>
        <v>3</v>
      </c>
      <c r="AP14" s="31">
        <f>IFERROR(VLOOKUP('SUMMARY MT 2026'!$E14,[1]dashboard_SYAIFUL!$E$4:$CP$76,90,FALSE),0)</f>
        <v>32</v>
      </c>
      <c r="AQ14" s="30"/>
      <c r="AR14" s="31">
        <f>35-Table2[[#This Row],[PARETO SKU MAR 2026]]</f>
        <v>35</v>
      </c>
      <c r="AS14" s="30"/>
      <c r="AT14" s="31">
        <f>35-Table2[[#This Row],[PARETO SKU MAR 2026]]</f>
        <v>35</v>
      </c>
      <c r="AU14" s="30"/>
      <c r="AV14" s="31">
        <f>35-Table2[[#This Row],[PARETO SKU MAR 2026]]</f>
        <v>35</v>
      </c>
      <c r="AW14" s="30"/>
      <c r="AX14" s="31">
        <f>35-Table2[[#This Row],[PARETO SKU MAR 2026]]</f>
        <v>35</v>
      </c>
      <c r="AY14" s="30"/>
      <c r="AZ14" s="31">
        <f>35-Table2[[#This Row],[PARETO SKU MAR 2026]]</f>
        <v>35</v>
      </c>
      <c r="BA14" s="30"/>
      <c r="BB14" s="31">
        <f>35-Table2[[#This Row],[PARETO SKU MAR 2026]]</f>
        <v>35</v>
      </c>
      <c r="BC14" s="30"/>
      <c r="BD14" s="31">
        <f>35-Table2[[#This Row],[PARETO SKU MAR 2026]]</f>
        <v>35</v>
      </c>
      <c r="BE14" s="30"/>
      <c r="BF14" s="31">
        <f>35-Table2[[#This Row],[PARETO SKU MAR 2026]]</f>
        <v>35</v>
      </c>
      <c r="BG14" s="30"/>
      <c r="BH14" s="31">
        <f>35-Table2[[#This Row],[PARETO SKU MAR 2026]]</f>
        <v>35</v>
      </c>
      <c r="BI14" s="30"/>
      <c r="BJ14" s="31">
        <f>35-Table2[[#This Row],[PARETO SKU MAR 2026]]</f>
        <v>35</v>
      </c>
      <c r="BL14" s="4"/>
    </row>
    <row r="15" spans="1:65" ht="27" customHeight="1" thickBot="1" x14ac:dyDescent="0.5">
      <c r="B15" s="45" t="s">
        <v>136</v>
      </c>
      <c r="C15" s="26">
        <f>RANK(IFERROR(VLOOKUP(Table2[[#This Row],[CUSTNO_DIST]],STM!B:C,2,FALSE),0),STM!$C$5:$C$65,0)</f>
        <v>11</v>
      </c>
      <c r="D15" s="46" t="s">
        <v>28</v>
      </c>
      <c r="E15" s="47" t="s">
        <v>29</v>
      </c>
      <c r="F15" s="32">
        <v>390330571.23062497</v>
      </c>
      <c r="G15" s="32">
        <v>32527547.602552082</v>
      </c>
      <c r="H15" s="26">
        <f t="shared" si="0"/>
        <v>12</v>
      </c>
      <c r="I15" s="32">
        <v>32951748.526909724</v>
      </c>
      <c r="J15" s="26">
        <f t="shared" si="1"/>
        <v>8</v>
      </c>
      <c r="K15" s="34">
        <f t="shared" ref="K15:K55" si="3">IFERROR(G15/I15-1," ")</f>
        <v>-1.2873396506143608E-2</v>
      </c>
      <c r="L15" s="34">
        <f>IFERROR(VLOOKUP(Table2[[#This Row],[CUST-GROUP]],$E$70:$K$88,7,FALSE),0)</f>
        <v>0.1461552607021519</v>
      </c>
      <c r="M15" s="34">
        <f>IFERROR(VLOOKUP(E15,STM!G:K,4,FALSE),0)/G15-1</f>
        <v>-7.1074307658400948E-2</v>
      </c>
      <c r="N15" s="34">
        <f>IFERROR(VLOOKUP('SUMMARY MT 2026'!$B15,$E$70:$M$88,8,FALSE),0)</f>
        <v>-7.0447778588230814E-2</v>
      </c>
      <c r="O15" s="34">
        <f>IFERROR(VLOOKUP(E15,STM!G:K,5,FALSE),0)/G15-1</f>
        <v>-0.36914160548288599</v>
      </c>
      <c r="P15" s="34">
        <f>IFERROR(VLOOKUP('SUMMARY MT 2026'!$B15,$E$70:$M$88,9,FALSE),0)</f>
        <v>-0.62624123157423972</v>
      </c>
      <c r="Q15" s="34"/>
      <c r="R15" s="34"/>
      <c r="S15" s="34"/>
      <c r="T15" s="34"/>
      <c r="U15" s="34"/>
      <c r="V15" s="34"/>
      <c r="W15" s="34"/>
      <c r="X15" s="34"/>
      <c r="Y15" s="34"/>
      <c r="Z15" s="34"/>
      <c r="AA15" s="34"/>
      <c r="AB15" s="34"/>
      <c r="AC15" s="34"/>
      <c r="AD15" s="34"/>
      <c r="AE15" s="34"/>
      <c r="AF15" s="34"/>
      <c r="AG15" s="34"/>
      <c r="AH15" s="34"/>
      <c r="AI15" s="34"/>
      <c r="AJ15" s="34"/>
      <c r="AK15" s="30">
        <f>IFERROR(VLOOKUP(E15,[1]dashboard_SYAIFUL!$E$4:$AZ$76,47,FALSE),0)</f>
        <v>24</v>
      </c>
      <c r="AL15" s="30">
        <f>IFERROR(VLOOKUP(E15,[1]dashboard_SYAIFUL!$E$4:$AZ$76,48,FALSE),0)</f>
        <v>11</v>
      </c>
      <c r="AM15" s="30">
        <f>IFERROR(VLOOKUP(E15,[1]dashboard_SYAIFUL!$E$4:$BD$76,49,FALSE),0)</f>
        <v>13</v>
      </c>
      <c r="AN15" s="30">
        <f>IFERROR(VLOOKUP(E15,[1]dashboard_SYAIFUL!$E$4:$BD$76,50,FALSE),0)</f>
        <v>22</v>
      </c>
      <c r="AO15" s="30">
        <f>IFERROR(VLOOKUP('SUMMARY MT 2026'!$E15,[1]dashboard_SYAIFUL!$E$4:$CP$76,89,FALSE),0)</f>
        <v>8</v>
      </c>
      <c r="AP15" s="31">
        <f>IFERROR(VLOOKUP('SUMMARY MT 2026'!$E15,[1]dashboard_SYAIFUL!$E$4:$CP$76,90,FALSE),0)</f>
        <v>27</v>
      </c>
      <c r="AQ15" s="30"/>
      <c r="AR15" s="31">
        <f>35-Table2[[#This Row],[PARETO SKU MAR 2026]]</f>
        <v>35</v>
      </c>
      <c r="AS15" s="30"/>
      <c r="AT15" s="31">
        <f>35-Table2[[#This Row],[PARETO SKU MAR 2026]]</f>
        <v>35</v>
      </c>
      <c r="AU15" s="30"/>
      <c r="AV15" s="31">
        <f>35-Table2[[#This Row],[PARETO SKU MAR 2026]]</f>
        <v>35</v>
      </c>
      <c r="AW15" s="30"/>
      <c r="AX15" s="31">
        <f>35-Table2[[#This Row],[PARETO SKU MAR 2026]]</f>
        <v>35</v>
      </c>
      <c r="AY15" s="30"/>
      <c r="AZ15" s="31">
        <f>35-Table2[[#This Row],[PARETO SKU MAR 2026]]</f>
        <v>35</v>
      </c>
      <c r="BA15" s="30"/>
      <c r="BB15" s="31">
        <f>35-Table2[[#This Row],[PARETO SKU MAR 2026]]</f>
        <v>35</v>
      </c>
      <c r="BC15" s="30"/>
      <c r="BD15" s="31">
        <f>35-Table2[[#This Row],[PARETO SKU MAR 2026]]</f>
        <v>35</v>
      </c>
      <c r="BE15" s="30"/>
      <c r="BF15" s="31">
        <f>35-Table2[[#This Row],[PARETO SKU MAR 2026]]</f>
        <v>35</v>
      </c>
      <c r="BG15" s="30"/>
      <c r="BH15" s="31">
        <f>35-Table2[[#This Row],[PARETO SKU MAR 2026]]</f>
        <v>35</v>
      </c>
      <c r="BI15" s="30"/>
      <c r="BJ15" s="31">
        <f>35-Table2[[#This Row],[PARETO SKU MAR 2026]]</f>
        <v>35</v>
      </c>
      <c r="BL15" s="4"/>
    </row>
    <row r="16" spans="1:65" ht="27" customHeight="1" thickBot="1" x14ac:dyDescent="0.5">
      <c r="B16" s="45" t="s">
        <v>137</v>
      </c>
      <c r="C16" s="26">
        <f>RANK(IFERROR(VLOOKUP(Table2[[#This Row],[CUSTNO_DIST]],STM!B:C,2,FALSE),0),STM!$C$5:$C$65,0)</f>
        <v>22</v>
      </c>
      <c r="D16" s="46" t="s">
        <v>30</v>
      </c>
      <c r="E16" s="47" t="s">
        <v>31</v>
      </c>
      <c r="F16" s="32">
        <v>367887526.90250009</v>
      </c>
      <c r="G16" s="32">
        <v>30657293.908541676</v>
      </c>
      <c r="H16" s="26">
        <f t="shared" si="0"/>
        <v>13</v>
      </c>
      <c r="I16" s="32">
        <v>20101131.125</v>
      </c>
      <c r="J16" s="26">
        <f t="shared" si="1"/>
        <v>17</v>
      </c>
      <c r="K16" s="34">
        <f t="shared" si="3"/>
        <v>0.52515267513542363</v>
      </c>
      <c r="L16" s="34">
        <f>IFERROR(VLOOKUP(Table2[[#This Row],[CUST-GROUP]],$E$70:$K$88,7,FALSE),0)</f>
        <v>0.31105346786620669</v>
      </c>
      <c r="M16" s="34">
        <f>IFERROR(VLOOKUP(E16,STM!G:K,4,FALSE),0)/G16-1</f>
        <v>-0.35441490656206853</v>
      </c>
      <c r="N16" s="34">
        <f>IFERROR(VLOOKUP('SUMMARY MT 2026'!$B16,$E$70:$M$88,8,FALSE),0)</f>
        <v>-0.20246099853772914</v>
      </c>
      <c r="O16" s="34">
        <f>IFERROR(VLOOKUP(E16,STM!G:K,5,FALSE),0)/G16-1</f>
        <v>-0.752380218134868</v>
      </c>
      <c r="P16" s="34">
        <f>IFERROR(VLOOKUP('SUMMARY MT 2026'!$B16,$E$70:$M$88,9,FALSE),0)</f>
        <v>-0.48667136440256498</v>
      </c>
      <c r="Q16" s="34"/>
      <c r="R16" s="34"/>
      <c r="S16" s="34"/>
      <c r="T16" s="34"/>
      <c r="U16" s="34"/>
      <c r="V16" s="34"/>
      <c r="W16" s="34"/>
      <c r="X16" s="34"/>
      <c r="Y16" s="34"/>
      <c r="Z16" s="34"/>
      <c r="AA16" s="34"/>
      <c r="AB16" s="34"/>
      <c r="AC16" s="34"/>
      <c r="AD16" s="34"/>
      <c r="AE16" s="34"/>
      <c r="AF16" s="34"/>
      <c r="AG16" s="34"/>
      <c r="AH16" s="34"/>
      <c r="AI16" s="34"/>
      <c r="AJ16" s="34"/>
      <c r="AK16" s="30">
        <f>IFERROR(VLOOKUP(E16,[1]dashboard_SYAIFUL!$E$4:$AZ$76,47,FALSE),0)</f>
        <v>31</v>
      </c>
      <c r="AL16" s="30">
        <f>IFERROR(VLOOKUP(E16,[1]dashboard_SYAIFUL!$E$4:$AZ$76,48,FALSE),0)</f>
        <v>4</v>
      </c>
      <c r="AM16" s="30">
        <f>IFERROR(VLOOKUP(E16,[1]dashboard_SYAIFUL!$E$4:$BD$76,49,FALSE),0)</f>
        <v>18</v>
      </c>
      <c r="AN16" s="30">
        <f>IFERROR(VLOOKUP(E16,[1]dashboard_SYAIFUL!$E$4:$BD$76,50,FALSE),0)</f>
        <v>17</v>
      </c>
      <c r="AO16" s="30">
        <f>IFERROR(VLOOKUP('SUMMARY MT 2026'!$E16,[1]dashboard_SYAIFUL!$E$4:$CP$76,89,FALSE),0)</f>
        <v>14</v>
      </c>
      <c r="AP16" s="31">
        <f>IFERROR(VLOOKUP('SUMMARY MT 2026'!$E16,[1]dashboard_SYAIFUL!$E$4:$CP$76,90,FALSE),0)</f>
        <v>21</v>
      </c>
      <c r="AQ16" s="30"/>
      <c r="AR16" s="31">
        <f>35-Table2[[#This Row],[PARETO SKU MAR 2026]]</f>
        <v>35</v>
      </c>
      <c r="AS16" s="30"/>
      <c r="AT16" s="31">
        <f>35-Table2[[#This Row],[PARETO SKU MAR 2026]]</f>
        <v>35</v>
      </c>
      <c r="AU16" s="30"/>
      <c r="AV16" s="31">
        <f>35-Table2[[#This Row],[PARETO SKU MAR 2026]]</f>
        <v>35</v>
      </c>
      <c r="AW16" s="30"/>
      <c r="AX16" s="31">
        <f>35-Table2[[#This Row],[PARETO SKU MAR 2026]]</f>
        <v>35</v>
      </c>
      <c r="AY16" s="30"/>
      <c r="AZ16" s="31">
        <f>35-Table2[[#This Row],[PARETO SKU MAR 2026]]</f>
        <v>35</v>
      </c>
      <c r="BA16" s="30"/>
      <c r="BB16" s="31">
        <f>35-Table2[[#This Row],[PARETO SKU MAR 2026]]</f>
        <v>35</v>
      </c>
      <c r="BC16" s="30"/>
      <c r="BD16" s="31">
        <f>35-Table2[[#This Row],[PARETO SKU MAR 2026]]</f>
        <v>35</v>
      </c>
      <c r="BE16" s="30"/>
      <c r="BF16" s="31">
        <f>35-Table2[[#This Row],[PARETO SKU MAR 2026]]</f>
        <v>35</v>
      </c>
      <c r="BG16" s="30"/>
      <c r="BH16" s="31">
        <f>35-Table2[[#This Row],[PARETO SKU MAR 2026]]</f>
        <v>35</v>
      </c>
      <c r="BI16" s="30"/>
      <c r="BJ16" s="31">
        <f>35-Table2[[#This Row],[PARETO SKU MAR 2026]]</f>
        <v>35</v>
      </c>
      <c r="BL16" s="4"/>
    </row>
    <row r="17" spans="2:64" ht="27" customHeight="1" thickBot="1" x14ac:dyDescent="0.5">
      <c r="B17" s="45" t="s">
        <v>133</v>
      </c>
      <c r="C17" s="26">
        <f>RANK(IFERROR(VLOOKUP(Table2[[#This Row],[CUSTNO_DIST]],STM!B:C,2,FALSE),0),STM!$C$5:$C$65,0)</f>
        <v>20</v>
      </c>
      <c r="D17" s="46" t="s">
        <v>32</v>
      </c>
      <c r="E17" s="47" t="s">
        <v>33</v>
      </c>
      <c r="F17" s="32">
        <v>315292384.42833334</v>
      </c>
      <c r="G17" s="32">
        <v>26274365.369027779</v>
      </c>
      <c r="H17" s="26">
        <f t="shared" si="0"/>
        <v>14</v>
      </c>
      <c r="I17" s="32">
        <v>26666710.067708332</v>
      </c>
      <c r="J17" s="26">
        <f t="shared" si="1"/>
        <v>12</v>
      </c>
      <c r="K17" s="34">
        <f t="shared" si="3"/>
        <v>-1.4712902254697569E-2</v>
      </c>
      <c r="L17" s="34">
        <f>IFERROR(VLOOKUP(Table2[[#This Row],[CUST-GROUP]],$E$70:$K$88,7,FALSE),0)</f>
        <v>0.20819267436989897</v>
      </c>
      <c r="M17" s="34">
        <f>IFERROR(VLOOKUP(E17,STM!G:K,4,FALSE),0)/G17-1</f>
        <v>-4.3043656336451241E-2</v>
      </c>
      <c r="N17" s="34">
        <f>IFERROR(VLOOKUP('SUMMARY MT 2026'!$B17,$E$70:$M$88,8,FALSE),0)</f>
        <v>0.23890658941664045</v>
      </c>
      <c r="O17" s="34">
        <f>IFERROR(VLOOKUP(E17,STM!G:K,5,FALSE),0)/G17-1</f>
        <v>-0.74794059111483469</v>
      </c>
      <c r="P17" s="34">
        <f>IFERROR(VLOOKUP('SUMMARY MT 2026'!$B17,$E$70:$M$88,9,FALSE),0)</f>
        <v>-0.33936199861588745</v>
      </c>
      <c r="Q17" s="34"/>
      <c r="R17" s="34"/>
      <c r="S17" s="34"/>
      <c r="T17" s="34"/>
      <c r="U17" s="34"/>
      <c r="V17" s="34"/>
      <c r="W17" s="34"/>
      <c r="X17" s="34"/>
      <c r="Y17" s="34"/>
      <c r="Z17" s="34"/>
      <c r="AA17" s="34"/>
      <c r="AB17" s="34"/>
      <c r="AC17" s="34"/>
      <c r="AD17" s="34"/>
      <c r="AE17" s="34"/>
      <c r="AF17" s="34"/>
      <c r="AG17" s="34"/>
      <c r="AH17" s="34"/>
      <c r="AI17" s="34"/>
      <c r="AJ17" s="34"/>
      <c r="AK17" s="30">
        <f>IFERROR(VLOOKUP(E17,[1]dashboard_SYAIFUL!$E$4:$AZ$76,47,FALSE),0)</f>
        <v>21</v>
      </c>
      <c r="AL17" s="30">
        <f>IFERROR(VLOOKUP(E17,[1]dashboard_SYAIFUL!$E$4:$AZ$76,48,FALSE),0)</f>
        <v>14</v>
      </c>
      <c r="AM17" s="30">
        <f>IFERROR(VLOOKUP(E17,[1]dashboard_SYAIFUL!$E$4:$BD$76,49,FALSE),0)</f>
        <v>16</v>
      </c>
      <c r="AN17" s="30">
        <f>IFERROR(VLOOKUP(E17,[1]dashboard_SYAIFUL!$E$4:$BD$76,50,FALSE),0)</f>
        <v>19</v>
      </c>
      <c r="AO17" s="30">
        <f>IFERROR(VLOOKUP('SUMMARY MT 2026'!$E17,[1]dashboard_SYAIFUL!$E$4:$CP$76,89,FALSE),0)</f>
        <v>10</v>
      </c>
      <c r="AP17" s="31">
        <f>IFERROR(VLOOKUP('SUMMARY MT 2026'!$E17,[1]dashboard_SYAIFUL!$E$4:$CP$76,90,FALSE),0)</f>
        <v>25</v>
      </c>
      <c r="AQ17" s="30"/>
      <c r="AR17" s="31">
        <f>35-Table2[[#This Row],[PARETO SKU MAR 2026]]</f>
        <v>35</v>
      </c>
      <c r="AS17" s="30"/>
      <c r="AT17" s="31">
        <f>35-Table2[[#This Row],[PARETO SKU MAR 2026]]</f>
        <v>35</v>
      </c>
      <c r="AU17" s="30"/>
      <c r="AV17" s="31">
        <f>35-Table2[[#This Row],[PARETO SKU MAR 2026]]</f>
        <v>35</v>
      </c>
      <c r="AW17" s="30"/>
      <c r="AX17" s="31">
        <f>35-Table2[[#This Row],[PARETO SKU MAR 2026]]</f>
        <v>35</v>
      </c>
      <c r="AY17" s="30"/>
      <c r="AZ17" s="31">
        <f>35-Table2[[#This Row],[PARETO SKU MAR 2026]]</f>
        <v>35</v>
      </c>
      <c r="BA17" s="30"/>
      <c r="BB17" s="31">
        <f>35-Table2[[#This Row],[PARETO SKU MAR 2026]]</f>
        <v>35</v>
      </c>
      <c r="BC17" s="30"/>
      <c r="BD17" s="31">
        <f>35-Table2[[#This Row],[PARETO SKU MAR 2026]]</f>
        <v>35</v>
      </c>
      <c r="BE17" s="30"/>
      <c r="BF17" s="31">
        <f>35-Table2[[#This Row],[PARETO SKU MAR 2026]]</f>
        <v>35</v>
      </c>
      <c r="BG17" s="30"/>
      <c r="BH17" s="31">
        <f>35-Table2[[#This Row],[PARETO SKU MAR 2026]]</f>
        <v>35</v>
      </c>
      <c r="BI17" s="30"/>
      <c r="BJ17" s="31">
        <f>35-Table2[[#This Row],[PARETO SKU MAR 2026]]</f>
        <v>35</v>
      </c>
      <c r="BL17" s="4"/>
    </row>
    <row r="18" spans="2:64" ht="27" customHeight="1" thickBot="1" x14ac:dyDescent="0.5">
      <c r="B18" s="45" t="s">
        <v>140</v>
      </c>
      <c r="C18" s="26">
        <f>RANK(IFERROR(VLOOKUP(Table2[[#This Row],[CUSTNO_DIST]],STM!B:C,2,FALSE),0),STM!$C$5:$C$65,0)</f>
        <v>18</v>
      </c>
      <c r="D18" s="46" t="s">
        <v>36</v>
      </c>
      <c r="E18" s="47" t="s">
        <v>37</v>
      </c>
      <c r="F18" s="32">
        <v>312623353.79406255</v>
      </c>
      <c r="G18" s="32">
        <v>26051946.149505213</v>
      </c>
      <c r="H18" s="26">
        <f t="shared" si="0"/>
        <v>15</v>
      </c>
      <c r="I18" s="32">
        <v>21370073.977141209</v>
      </c>
      <c r="J18" s="26">
        <f t="shared" si="1"/>
        <v>15</v>
      </c>
      <c r="K18" s="34">
        <f t="shared" si="3"/>
        <v>0.21908544525264784</v>
      </c>
      <c r="L18" s="34">
        <f>IFERROR(VLOOKUP(Table2[[#This Row],[CUST-GROUP]],$E$70:$K$88,7,FALSE),0)</f>
        <v>3.5428639582653076E-2</v>
      </c>
      <c r="M18" s="34">
        <f>IFERROR(VLOOKUP(E18,STM!G:K,4,FALSE),0)/G18-1</f>
        <v>-0.48028986496630122</v>
      </c>
      <c r="N18" s="34">
        <f>IFERROR(VLOOKUP('SUMMARY MT 2026'!$B18,$E$70:$M$88,8,FALSE),0)</f>
        <v>-0.15994413784687966</v>
      </c>
      <c r="O18" s="34">
        <f>IFERROR(VLOOKUP(E18,STM!G:K,5,FALSE),0)/G18-1</f>
        <v>-8.1398265093545863E-2</v>
      </c>
      <c r="P18" s="34">
        <f>IFERROR(VLOOKUP('SUMMARY MT 2026'!$B18,$E$70:$M$88,9,FALSE),0)</f>
        <v>-0.14096078160073211</v>
      </c>
      <c r="Q18" s="34"/>
      <c r="R18" s="34"/>
      <c r="S18" s="34"/>
      <c r="T18" s="34"/>
      <c r="U18" s="34"/>
      <c r="V18" s="34"/>
      <c r="W18" s="34"/>
      <c r="X18" s="34"/>
      <c r="Y18" s="34"/>
      <c r="Z18" s="34"/>
      <c r="AA18" s="34"/>
      <c r="AB18" s="34"/>
      <c r="AC18" s="34"/>
      <c r="AD18" s="34"/>
      <c r="AE18" s="34"/>
      <c r="AF18" s="34"/>
      <c r="AG18" s="34"/>
      <c r="AH18" s="34"/>
      <c r="AI18" s="34"/>
      <c r="AJ18" s="34"/>
      <c r="AK18" s="30">
        <f>IFERROR(VLOOKUP(E18,[1]dashboard_SYAIFUL!$E$4:$AZ$76,47,FALSE),0)</f>
        <v>14</v>
      </c>
      <c r="AL18" s="30">
        <f>IFERROR(VLOOKUP(E18,[1]dashboard_SYAIFUL!$E$4:$AZ$76,48,FALSE),0)</f>
        <v>21</v>
      </c>
      <c r="AM18" s="30">
        <f>IFERROR(VLOOKUP(E18,[1]dashboard_SYAIFUL!$E$4:$BD$76,49,FALSE),0)</f>
        <v>9</v>
      </c>
      <c r="AN18" s="30">
        <f>IFERROR(VLOOKUP(E18,[1]dashboard_SYAIFUL!$E$4:$BD$76,50,FALSE),0)</f>
        <v>26</v>
      </c>
      <c r="AO18" s="30">
        <f>IFERROR(VLOOKUP('SUMMARY MT 2026'!$E18,[1]dashboard_SYAIFUL!$E$4:$CP$76,89,FALSE),0)</f>
        <v>8</v>
      </c>
      <c r="AP18" s="31">
        <f>IFERROR(VLOOKUP('SUMMARY MT 2026'!$E18,[1]dashboard_SYAIFUL!$E$4:$CP$76,90,FALSE),0)</f>
        <v>27</v>
      </c>
      <c r="AQ18" s="30"/>
      <c r="AR18" s="31">
        <f>35-Table2[[#This Row],[PARETO SKU MAR 2026]]</f>
        <v>35</v>
      </c>
      <c r="AS18" s="30"/>
      <c r="AT18" s="31">
        <f>35-Table2[[#This Row],[PARETO SKU MAR 2026]]</f>
        <v>35</v>
      </c>
      <c r="AU18" s="30"/>
      <c r="AV18" s="31">
        <f>35-Table2[[#This Row],[PARETO SKU MAR 2026]]</f>
        <v>35</v>
      </c>
      <c r="AW18" s="30"/>
      <c r="AX18" s="31">
        <f>35-Table2[[#This Row],[PARETO SKU MAR 2026]]</f>
        <v>35</v>
      </c>
      <c r="AY18" s="30"/>
      <c r="AZ18" s="31">
        <f>35-Table2[[#This Row],[PARETO SKU MAR 2026]]</f>
        <v>35</v>
      </c>
      <c r="BA18" s="30"/>
      <c r="BB18" s="31">
        <f>35-Table2[[#This Row],[PARETO SKU MAR 2026]]</f>
        <v>35</v>
      </c>
      <c r="BC18" s="30"/>
      <c r="BD18" s="31">
        <f>35-Table2[[#This Row],[PARETO SKU MAR 2026]]</f>
        <v>35</v>
      </c>
      <c r="BE18" s="30"/>
      <c r="BF18" s="31">
        <f>35-Table2[[#This Row],[PARETO SKU MAR 2026]]</f>
        <v>35</v>
      </c>
      <c r="BG18" s="30"/>
      <c r="BH18" s="31">
        <f>35-Table2[[#This Row],[PARETO SKU MAR 2026]]</f>
        <v>35</v>
      </c>
      <c r="BI18" s="30"/>
      <c r="BJ18" s="31">
        <f>35-Table2[[#This Row],[PARETO SKU MAR 2026]]</f>
        <v>35</v>
      </c>
      <c r="BL18" s="4"/>
    </row>
    <row r="19" spans="2:64" ht="27" customHeight="1" thickBot="1" x14ac:dyDescent="0.5">
      <c r="B19" s="45" t="s">
        <v>133</v>
      </c>
      <c r="C19" s="26">
        <f>RANK(IFERROR(VLOOKUP(Table2[[#This Row],[CUSTNO_DIST]],STM!B:C,2,FALSE),0),STM!$C$5:$C$65,0)</f>
        <v>30</v>
      </c>
      <c r="D19" s="46" t="s">
        <v>38</v>
      </c>
      <c r="E19" s="47" t="s">
        <v>39</v>
      </c>
      <c r="F19" s="32">
        <v>260769060.07625002</v>
      </c>
      <c r="G19" s="32">
        <v>21730755.006354168</v>
      </c>
      <c r="H19" s="26">
        <f t="shared" si="0"/>
        <v>16</v>
      </c>
      <c r="I19" s="32">
        <v>23089016.228298616</v>
      </c>
      <c r="J19" s="26">
        <f t="shared" si="1"/>
        <v>13</v>
      </c>
      <c r="K19" s="34">
        <f t="shared" si="3"/>
        <v>-5.8827158702401516E-2</v>
      </c>
      <c r="L19" s="34">
        <f>IFERROR(VLOOKUP(Table2[[#This Row],[CUST-GROUP]],$E$70:$K$88,7,FALSE),0)</f>
        <v>0.20819267436989897</v>
      </c>
      <c r="M19" s="34">
        <f>IFERROR(VLOOKUP(E19,STM!G:K,4,FALSE),0)/G19-1</f>
        <v>-0.32668216031395947</v>
      </c>
      <c r="N19" s="34">
        <f>IFERROR(VLOOKUP('SUMMARY MT 2026'!$B19,$E$70:$M$88,8,FALSE),0)</f>
        <v>0.23890658941664045</v>
      </c>
      <c r="O19" s="34">
        <f>IFERROR(VLOOKUP(E19,STM!G:K,5,FALSE),0)/G19-1</f>
        <v>-0.75053418201347111</v>
      </c>
      <c r="P19" s="34">
        <f>IFERROR(VLOOKUP('SUMMARY MT 2026'!$B19,$E$70:$M$88,9,FALSE),0)</f>
        <v>-0.33936199861588745</v>
      </c>
      <c r="Q19" s="34"/>
      <c r="R19" s="34"/>
      <c r="S19" s="34"/>
      <c r="T19" s="34"/>
      <c r="U19" s="34"/>
      <c r="V19" s="34"/>
      <c r="W19" s="34"/>
      <c r="X19" s="34"/>
      <c r="Y19" s="34"/>
      <c r="Z19" s="34"/>
      <c r="AA19" s="34"/>
      <c r="AB19" s="34"/>
      <c r="AC19" s="34"/>
      <c r="AD19" s="34"/>
      <c r="AE19" s="34"/>
      <c r="AF19" s="34"/>
      <c r="AG19" s="34"/>
      <c r="AH19" s="34"/>
      <c r="AI19" s="34"/>
      <c r="AJ19" s="34"/>
      <c r="AK19" s="30">
        <f>IFERROR(VLOOKUP(E19,[1]dashboard_SYAIFUL!$E$4:$AZ$76,47,FALSE),0)</f>
        <v>22</v>
      </c>
      <c r="AL19" s="30">
        <f>IFERROR(VLOOKUP(E19,[1]dashboard_SYAIFUL!$E$4:$AZ$76,48,FALSE),0)</f>
        <v>13</v>
      </c>
      <c r="AM19" s="30">
        <f>IFERROR(VLOOKUP(E19,[1]dashboard_SYAIFUL!$E$4:$BD$76,49,FALSE),0)</f>
        <v>11</v>
      </c>
      <c r="AN19" s="30">
        <f>IFERROR(VLOOKUP(E19,[1]dashboard_SYAIFUL!$E$4:$BD$76,50,FALSE),0)</f>
        <v>24</v>
      </c>
      <c r="AO19" s="30">
        <f>IFERROR(VLOOKUP('SUMMARY MT 2026'!$E19,[1]dashboard_SYAIFUL!$E$4:$CP$76,89,FALSE),0)</f>
        <v>8</v>
      </c>
      <c r="AP19" s="31">
        <f>IFERROR(VLOOKUP('SUMMARY MT 2026'!$E19,[1]dashboard_SYAIFUL!$E$4:$CP$76,90,FALSE),0)</f>
        <v>27</v>
      </c>
      <c r="AQ19" s="30"/>
      <c r="AR19" s="31">
        <f>35-Table2[[#This Row],[PARETO SKU MAR 2026]]</f>
        <v>35</v>
      </c>
      <c r="AS19" s="30"/>
      <c r="AT19" s="31">
        <f>35-Table2[[#This Row],[PARETO SKU MAR 2026]]</f>
        <v>35</v>
      </c>
      <c r="AU19" s="30"/>
      <c r="AV19" s="31">
        <f>35-Table2[[#This Row],[PARETO SKU MAR 2026]]</f>
        <v>35</v>
      </c>
      <c r="AW19" s="30"/>
      <c r="AX19" s="31">
        <f>35-Table2[[#This Row],[PARETO SKU MAR 2026]]</f>
        <v>35</v>
      </c>
      <c r="AY19" s="30"/>
      <c r="AZ19" s="31">
        <f>35-Table2[[#This Row],[PARETO SKU MAR 2026]]</f>
        <v>35</v>
      </c>
      <c r="BA19" s="30"/>
      <c r="BB19" s="31">
        <f>35-Table2[[#This Row],[PARETO SKU MAR 2026]]</f>
        <v>35</v>
      </c>
      <c r="BC19" s="30"/>
      <c r="BD19" s="31">
        <f>35-Table2[[#This Row],[PARETO SKU MAR 2026]]</f>
        <v>35</v>
      </c>
      <c r="BE19" s="30"/>
      <c r="BF19" s="31">
        <f>35-Table2[[#This Row],[PARETO SKU MAR 2026]]</f>
        <v>35</v>
      </c>
      <c r="BG19" s="30"/>
      <c r="BH19" s="31">
        <f>35-Table2[[#This Row],[PARETO SKU MAR 2026]]</f>
        <v>35</v>
      </c>
      <c r="BI19" s="30"/>
      <c r="BJ19" s="31">
        <f>35-Table2[[#This Row],[PARETO SKU MAR 2026]]</f>
        <v>35</v>
      </c>
      <c r="BL19" s="4"/>
    </row>
    <row r="20" spans="2:64" ht="27" customHeight="1" thickBot="1" x14ac:dyDescent="0.5">
      <c r="B20" s="45" t="s">
        <v>139</v>
      </c>
      <c r="C20" s="26">
        <f>RANK(IFERROR(VLOOKUP(Table2[[#This Row],[CUSTNO_DIST]],STM!B:C,2,FALSE),0),STM!$C$5:$C$65,0)</f>
        <v>14</v>
      </c>
      <c r="D20" s="46" t="s">
        <v>50</v>
      </c>
      <c r="E20" s="47" t="s">
        <v>51</v>
      </c>
      <c r="F20" s="32">
        <v>242094363.06395832</v>
      </c>
      <c r="G20" s="32">
        <v>20174530.255329859</v>
      </c>
      <c r="H20" s="26">
        <f t="shared" si="0"/>
        <v>17</v>
      </c>
      <c r="I20" s="32">
        <v>22085130.357349541</v>
      </c>
      <c r="J20" s="26">
        <f t="shared" si="1"/>
        <v>14</v>
      </c>
      <c r="K20" s="34">
        <f t="shared" si="3"/>
        <v>-8.6510700688885334E-2</v>
      </c>
      <c r="L20" s="34">
        <f>IFERROR(VLOOKUP(Table2[[#This Row],[CUST-GROUP]],$E$70:$K$88,7,FALSE),0)</f>
        <v>0.1295445799804944</v>
      </c>
      <c r="M20" s="34">
        <f>IFERROR(VLOOKUP(E20,STM!G:K,4,FALSE),0)/G20-1</f>
        <v>0.9071496734024409</v>
      </c>
      <c r="N20" s="34">
        <f>IFERROR(VLOOKUP('SUMMARY MT 2026'!$B20,$E$70:$M$88,8,FALSE),0)</f>
        <v>0.47930016526078623</v>
      </c>
      <c r="O20" s="34">
        <f>IFERROR(VLOOKUP(E20,STM!G:K,5,FALSE),0)/G20-1</f>
        <v>-0.57209916509856029</v>
      </c>
      <c r="P20" s="34">
        <f>IFERROR(VLOOKUP('SUMMARY MT 2026'!$B20,$E$70:$M$88,9,FALSE),0)</f>
        <v>-0.1322047187286205</v>
      </c>
      <c r="Q20" s="34"/>
      <c r="R20" s="34"/>
      <c r="S20" s="34"/>
      <c r="T20" s="34"/>
      <c r="U20" s="34"/>
      <c r="V20" s="34"/>
      <c r="W20" s="34"/>
      <c r="X20" s="34"/>
      <c r="Y20" s="34"/>
      <c r="Z20" s="34"/>
      <c r="AA20" s="34"/>
      <c r="AB20" s="34"/>
      <c r="AC20" s="34"/>
      <c r="AD20" s="34"/>
      <c r="AE20" s="34"/>
      <c r="AF20" s="34"/>
      <c r="AG20" s="34"/>
      <c r="AH20" s="34"/>
      <c r="AI20" s="34"/>
      <c r="AJ20" s="34"/>
      <c r="AK20" s="30">
        <f>IFERROR(VLOOKUP(E20,[1]dashboard_SYAIFUL!$E$4:$AZ$76,47,FALSE),0)</f>
        <v>19</v>
      </c>
      <c r="AL20" s="30">
        <f>IFERROR(VLOOKUP(E20,[1]dashboard_SYAIFUL!$E$4:$AZ$76,48,FALSE),0)</f>
        <v>16</v>
      </c>
      <c r="AM20" s="30">
        <f>IFERROR(VLOOKUP(E20,[1]dashboard_SYAIFUL!$E$4:$BD$76,49,FALSE),0)</f>
        <v>10</v>
      </c>
      <c r="AN20" s="30">
        <f>IFERROR(VLOOKUP(E20,[1]dashboard_SYAIFUL!$E$4:$BD$76,50,FALSE),0)</f>
        <v>25</v>
      </c>
      <c r="AO20" s="30">
        <f>IFERROR(VLOOKUP('SUMMARY MT 2026'!$E20,[1]dashboard_SYAIFUL!$E$4:$CP$76,89,FALSE),0)</f>
        <v>7</v>
      </c>
      <c r="AP20" s="31">
        <f>IFERROR(VLOOKUP('SUMMARY MT 2026'!$E20,[1]dashboard_SYAIFUL!$E$4:$CP$76,90,FALSE),0)</f>
        <v>28</v>
      </c>
      <c r="AQ20" s="30"/>
      <c r="AR20" s="31">
        <f>35-Table2[[#This Row],[PARETO SKU MAR 2026]]</f>
        <v>35</v>
      </c>
      <c r="AS20" s="30"/>
      <c r="AT20" s="31">
        <f>35-Table2[[#This Row],[PARETO SKU MAR 2026]]</f>
        <v>35</v>
      </c>
      <c r="AU20" s="30"/>
      <c r="AV20" s="31">
        <f>35-Table2[[#This Row],[PARETO SKU MAR 2026]]</f>
        <v>35</v>
      </c>
      <c r="AW20" s="30"/>
      <c r="AX20" s="31">
        <f>35-Table2[[#This Row],[PARETO SKU MAR 2026]]</f>
        <v>35</v>
      </c>
      <c r="AY20" s="30"/>
      <c r="AZ20" s="31">
        <f>35-Table2[[#This Row],[PARETO SKU MAR 2026]]</f>
        <v>35</v>
      </c>
      <c r="BA20" s="30"/>
      <c r="BB20" s="31">
        <f>35-Table2[[#This Row],[PARETO SKU MAR 2026]]</f>
        <v>35</v>
      </c>
      <c r="BC20" s="30"/>
      <c r="BD20" s="31">
        <f>35-Table2[[#This Row],[PARETO SKU MAR 2026]]</f>
        <v>35</v>
      </c>
      <c r="BE20" s="30"/>
      <c r="BF20" s="31">
        <f>35-Table2[[#This Row],[PARETO SKU MAR 2026]]</f>
        <v>35</v>
      </c>
      <c r="BG20" s="30"/>
      <c r="BH20" s="31">
        <f>35-Table2[[#This Row],[PARETO SKU MAR 2026]]</f>
        <v>35</v>
      </c>
      <c r="BI20" s="30"/>
      <c r="BJ20" s="31">
        <f>35-Table2[[#This Row],[PARETO SKU MAR 2026]]</f>
        <v>35</v>
      </c>
      <c r="BL20" s="4"/>
    </row>
    <row r="21" spans="2:64" ht="27" customHeight="1" thickBot="1" x14ac:dyDescent="0.5">
      <c r="B21" s="45" t="s">
        <v>138</v>
      </c>
      <c r="C21" s="26">
        <f>RANK(IFERROR(VLOOKUP(Table2[[#This Row],[CUSTNO_DIST]],STM!B:C,2,FALSE),0),STM!$C$5:$C$65,0)</f>
        <v>28</v>
      </c>
      <c r="D21" s="46" t="s">
        <v>42</v>
      </c>
      <c r="E21" s="47" t="s">
        <v>43</v>
      </c>
      <c r="F21" s="32">
        <v>228458152.93666667</v>
      </c>
      <c r="G21" s="32">
        <v>19038179.411388889</v>
      </c>
      <c r="H21" s="26">
        <f t="shared" si="0"/>
        <v>18</v>
      </c>
      <c r="I21" s="32">
        <v>21330399.722511578</v>
      </c>
      <c r="J21" s="26">
        <f t="shared" si="1"/>
        <v>16</v>
      </c>
      <c r="K21" s="34">
        <f t="shared" si="3"/>
        <v>-0.10746260458980228</v>
      </c>
      <c r="L21" s="34">
        <f>IFERROR(VLOOKUP(Table2[[#This Row],[CUST-GROUP]],$E$70:$K$88,7,FALSE),0)</f>
        <v>4.9144122299097592E-2</v>
      </c>
      <c r="M21" s="34">
        <f>IFERROR(VLOOKUP(E21,STM!G:K,4,FALSE),0)/G21-1</f>
        <v>-0.40606796824355085</v>
      </c>
      <c r="N21" s="34">
        <f>IFERROR(VLOOKUP('SUMMARY MT 2026'!$B21,$E$70:$M$88,8,FALSE),0)</f>
        <v>0.6856309844288877</v>
      </c>
      <c r="O21" s="34">
        <f>IFERROR(VLOOKUP(E21,STM!G:K,5,FALSE),0)/G21-1</f>
        <v>-0.42505286482853877</v>
      </c>
      <c r="P21" s="34">
        <f>IFERROR(VLOOKUP('SUMMARY MT 2026'!$B21,$E$70:$M$88,9,FALSE),0)</f>
        <v>-0.53480502716537437</v>
      </c>
      <c r="Q21" s="34"/>
      <c r="R21" s="34"/>
      <c r="S21" s="34"/>
      <c r="T21" s="34"/>
      <c r="U21" s="34"/>
      <c r="V21" s="34"/>
      <c r="W21" s="34"/>
      <c r="X21" s="34"/>
      <c r="Y21" s="34"/>
      <c r="Z21" s="34"/>
      <c r="AA21" s="34"/>
      <c r="AB21" s="34"/>
      <c r="AC21" s="34"/>
      <c r="AD21" s="34"/>
      <c r="AE21" s="34"/>
      <c r="AF21" s="34"/>
      <c r="AG21" s="34"/>
      <c r="AH21" s="34"/>
      <c r="AI21" s="34"/>
      <c r="AJ21" s="34"/>
      <c r="AK21" s="30">
        <f>IFERROR(VLOOKUP(E21,[1]dashboard_SYAIFUL!$E$4:$AZ$76,47,FALSE),0)</f>
        <v>20</v>
      </c>
      <c r="AL21" s="30">
        <f>IFERROR(VLOOKUP(E21,[1]dashboard_SYAIFUL!$E$4:$AZ$76,48,FALSE),0)</f>
        <v>15</v>
      </c>
      <c r="AM21" s="30">
        <f>IFERROR(VLOOKUP(E21,[1]dashboard_SYAIFUL!$E$4:$BD$76,49,FALSE),0)</f>
        <v>14</v>
      </c>
      <c r="AN21" s="30">
        <f>IFERROR(VLOOKUP(E21,[1]dashboard_SYAIFUL!$E$4:$BD$76,50,FALSE),0)</f>
        <v>21</v>
      </c>
      <c r="AO21" s="30">
        <f>IFERROR(VLOOKUP('SUMMARY MT 2026'!$E21,[1]dashboard_SYAIFUL!$E$4:$CP$76,89,FALSE),0)</f>
        <v>11</v>
      </c>
      <c r="AP21" s="31">
        <f>IFERROR(VLOOKUP('SUMMARY MT 2026'!$E21,[1]dashboard_SYAIFUL!$E$4:$CP$76,90,FALSE),0)</f>
        <v>24</v>
      </c>
      <c r="AQ21" s="30"/>
      <c r="AR21" s="31">
        <f>35-Table2[[#This Row],[PARETO SKU MAR 2026]]</f>
        <v>35</v>
      </c>
      <c r="AS21" s="30"/>
      <c r="AT21" s="31">
        <f>35-Table2[[#This Row],[PARETO SKU MAR 2026]]</f>
        <v>35</v>
      </c>
      <c r="AU21" s="30"/>
      <c r="AV21" s="31">
        <f>35-Table2[[#This Row],[PARETO SKU MAR 2026]]</f>
        <v>35</v>
      </c>
      <c r="AW21" s="30"/>
      <c r="AX21" s="31">
        <f>35-Table2[[#This Row],[PARETO SKU MAR 2026]]</f>
        <v>35</v>
      </c>
      <c r="AY21" s="30"/>
      <c r="AZ21" s="31">
        <f>35-Table2[[#This Row],[PARETO SKU MAR 2026]]</f>
        <v>35</v>
      </c>
      <c r="BA21" s="30"/>
      <c r="BB21" s="31">
        <f>35-Table2[[#This Row],[PARETO SKU MAR 2026]]</f>
        <v>35</v>
      </c>
      <c r="BC21" s="30"/>
      <c r="BD21" s="31">
        <f>35-Table2[[#This Row],[PARETO SKU MAR 2026]]</f>
        <v>35</v>
      </c>
      <c r="BE21" s="30"/>
      <c r="BF21" s="31">
        <f>35-Table2[[#This Row],[PARETO SKU MAR 2026]]</f>
        <v>35</v>
      </c>
      <c r="BG21" s="30"/>
      <c r="BH21" s="31">
        <f>35-Table2[[#This Row],[PARETO SKU MAR 2026]]</f>
        <v>35</v>
      </c>
      <c r="BI21" s="30"/>
      <c r="BJ21" s="31">
        <f>35-Table2[[#This Row],[PARETO SKU MAR 2026]]</f>
        <v>35</v>
      </c>
      <c r="BL21" s="4"/>
    </row>
    <row r="22" spans="2:64" ht="27" customHeight="1" thickBot="1" x14ac:dyDescent="0.5">
      <c r="B22" s="45" t="s">
        <v>144</v>
      </c>
      <c r="C22" s="26">
        <f>RANK(IFERROR(VLOOKUP(Table2[[#This Row],[CUSTNO_DIST]],STM!B:C,2,FALSE),0),STM!$C$5:$C$65,0)</f>
        <v>19</v>
      </c>
      <c r="D22" s="46" t="s">
        <v>40</v>
      </c>
      <c r="E22" s="47" t="s">
        <v>41</v>
      </c>
      <c r="F22" s="32">
        <v>228365717.82770836</v>
      </c>
      <c r="G22" s="32">
        <v>19030476.485642362</v>
      </c>
      <c r="H22" s="26">
        <f t="shared" si="0"/>
        <v>19</v>
      </c>
      <c r="I22" s="32">
        <v>15703135.31423611</v>
      </c>
      <c r="J22" s="26">
        <f t="shared" si="1"/>
        <v>22</v>
      </c>
      <c r="K22" s="34">
        <f t="shared" si="3"/>
        <v>0.21189024387949829</v>
      </c>
      <c r="L22" s="34">
        <f>IFERROR(VLOOKUP(Table2[[#This Row],[CUST-GROUP]],$E$70:$K$88,7,FALSE),0)</f>
        <v>0.21189024387949829</v>
      </c>
      <c r="M22" s="34">
        <f>IFERROR(VLOOKUP(E22,STM!G:K,4,FALSE),0)/G22-1</f>
        <v>4.9004938027672029E-2</v>
      </c>
      <c r="N22" s="34">
        <f>IFERROR(VLOOKUP('SUMMARY MT 2026'!$B22,$E$70:$M$88,8,FALSE),0)</f>
        <v>4.9004938027672029E-2</v>
      </c>
      <c r="O22" s="34">
        <f>IFERROR(VLOOKUP(E22,STM!G:K,5,FALSE),0)/G22-1</f>
        <v>-0.21943129245438897</v>
      </c>
      <c r="P22" s="34">
        <f>IFERROR(VLOOKUP('SUMMARY MT 2026'!$B22,$E$70:$M$88,9,FALSE),0)</f>
        <v>-0.21943129245438897</v>
      </c>
      <c r="Q22" s="34"/>
      <c r="R22" s="34"/>
      <c r="S22" s="34"/>
      <c r="T22" s="34"/>
      <c r="U22" s="34"/>
      <c r="V22" s="34"/>
      <c r="W22" s="34"/>
      <c r="X22" s="34"/>
      <c r="Y22" s="34"/>
      <c r="Z22" s="34"/>
      <c r="AA22" s="34"/>
      <c r="AB22" s="34"/>
      <c r="AC22" s="34"/>
      <c r="AD22" s="34"/>
      <c r="AE22" s="34"/>
      <c r="AF22" s="34"/>
      <c r="AG22" s="34"/>
      <c r="AH22" s="34"/>
      <c r="AI22" s="34"/>
      <c r="AJ22" s="34"/>
      <c r="AK22" s="30">
        <f>IFERROR(VLOOKUP(E22,[1]dashboard_SYAIFUL!$E$4:$AZ$76,47,FALSE),0)</f>
        <v>22</v>
      </c>
      <c r="AL22" s="30">
        <f>IFERROR(VLOOKUP(E22,[1]dashboard_SYAIFUL!$E$4:$AZ$76,48,FALSE),0)</f>
        <v>13</v>
      </c>
      <c r="AM22" s="30">
        <f>IFERROR(VLOOKUP(E22,[1]dashboard_SYAIFUL!$E$4:$BD$76,49,FALSE),0)</f>
        <v>15</v>
      </c>
      <c r="AN22" s="30">
        <f>IFERROR(VLOOKUP(E22,[1]dashboard_SYAIFUL!$E$4:$BD$76,50,FALSE),0)</f>
        <v>20</v>
      </c>
      <c r="AO22" s="30">
        <f>IFERROR(VLOOKUP('SUMMARY MT 2026'!$E22,[1]dashboard_SYAIFUL!$E$4:$CP$76,89,FALSE),0)</f>
        <v>12</v>
      </c>
      <c r="AP22" s="31">
        <f>IFERROR(VLOOKUP('SUMMARY MT 2026'!$E22,[1]dashboard_SYAIFUL!$E$4:$CP$76,90,FALSE),0)</f>
        <v>23</v>
      </c>
      <c r="AQ22" s="30"/>
      <c r="AR22" s="31">
        <f>35-Table2[[#This Row],[PARETO SKU MAR 2026]]</f>
        <v>35</v>
      </c>
      <c r="AS22" s="30"/>
      <c r="AT22" s="31">
        <f>35-Table2[[#This Row],[PARETO SKU MAR 2026]]</f>
        <v>35</v>
      </c>
      <c r="AU22" s="30"/>
      <c r="AV22" s="31">
        <f>35-Table2[[#This Row],[PARETO SKU MAR 2026]]</f>
        <v>35</v>
      </c>
      <c r="AW22" s="30"/>
      <c r="AX22" s="31">
        <f>35-Table2[[#This Row],[PARETO SKU MAR 2026]]</f>
        <v>35</v>
      </c>
      <c r="AY22" s="30"/>
      <c r="AZ22" s="31">
        <f>35-Table2[[#This Row],[PARETO SKU MAR 2026]]</f>
        <v>35</v>
      </c>
      <c r="BA22" s="30"/>
      <c r="BB22" s="31">
        <f>35-Table2[[#This Row],[PARETO SKU MAR 2026]]</f>
        <v>35</v>
      </c>
      <c r="BC22" s="30"/>
      <c r="BD22" s="31">
        <f>35-Table2[[#This Row],[PARETO SKU MAR 2026]]</f>
        <v>35</v>
      </c>
      <c r="BE22" s="30"/>
      <c r="BF22" s="31">
        <f>35-Table2[[#This Row],[PARETO SKU MAR 2026]]</f>
        <v>35</v>
      </c>
      <c r="BG22" s="30"/>
      <c r="BH22" s="31">
        <f>35-Table2[[#This Row],[PARETO SKU MAR 2026]]</f>
        <v>35</v>
      </c>
      <c r="BI22" s="30"/>
      <c r="BJ22" s="31">
        <f>35-Table2[[#This Row],[PARETO SKU MAR 2026]]</f>
        <v>35</v>
      </c>
      <c r="BL22" s="4"/>
    </row>
    <row r="23" spans="2:64" ht="27" customHeight="1" thickBot="1" x14ac:dyDescent="0.5">
      <c r="B23" s="45" t="s">
        <v>136</v>
      </c>
      <c r="C23" s="26">
        <f>RANK(IFERROR(VLOOKUP(Table2[[#This Row],[CUSTNO_DIST]],STM!B:C,2,FALSE),0),STM!$C$5:$C$65,0)</f>
        <v>43</v>
      </c>
      <c r="D23" s="46" t="s">
        <v>52</v>
      </c>
      <c r="E23" s="47" t="s">
        <v>53</v>
      </c>
      <c r="F23" s="32">
        <v>221681413.51739585</v>
      </c>
      <c r="G23" s="32">
        <v>18473451.126449656</v>
      </c>
      <c r="H23" s="26">
        <f t="shared" si="0"/>
        <v>20</v>
      </c>
      <c r="I23" s="32">
        <v>18588467.60590278</v>
      </c>
      <c r="J23" s="26">
        <f t="shared" si="1"/>
        <v>18</v>
      </c>
      <c r="K23" s="34">
        <f t="shared" si="3"/>
        <v>-6.1875180833411703E-3</v>
      </c>
      <c r="L23" s="34">
        <f>IFERROR(VLOOKUP(Table2[[#This Row],[CUST-GROUP]],$E$70:$K$88,7,FALSE),0)</f>
        <v>0.1461552607021519</v>
      </c>
      <c r="M23" s="34">
        <f>IFERROR(VLOOKUP(E23,STM!G:K,4,FALSE),0)/G23-1</f>
        <v>-0.47936004334462168</v>
      </c>
      <c r="N23" s="34">
        <f>IFERROR(VLOOKUP('SUMMARY MT 2026'!$B23,$E$70:$M$88,8,FALSE),0)</f>
        <v>-7.0447778588230814E-2</v>
      </c>
      <c r="O23" s="34">
        <f>IFERROR(VLOOKUP(E23,STM!G:K,5,FALSE),0)/G23-1</f>
        <v>-1.0004389063271304</v>
      </c>
      <c r="P23" s="34">
        <f>IFERROR(VLOOKUP('SUMMARY MT 2026'!$B23,$E$70:$M$88,9,FALSE),0)</f>
        <v>-0.62624123157423972</v>
      </c>
      <c r="Q23" s="34"/>
      <c r="R23" s="34"/>
      <c r="S23" s="34"/>
      <c r="T23" s="34"/>
      <c r="U23" s="34"/>
      <c r="V23" s="34"/>
      <c r="W23" s="34"/>
      <c r="X23" s="34"/>
      <c r="Y23" s="34"/>
      <c r="Z23" s="34"/>
      <c r="AA23" s="34"/>
      <c r="AB23" s="34"/>
      <c r="AC23" s="34"/>
      <c r="AD23" s="34"/>
      <c r="AE23" s="34"/>
      <c r="AF23" s="34"/>
      <c r="AG23" s="34"/>
      <c r="AH23" s="34"/>
      <c r="AI23" s="34"/>
      <c r="AJ23" s="34"/>
      <c r="AK23" s="30">
        <f>IFERROR(VLOOKUP(E23,[1]dashboard_SYAIFUL!$E$4:$AZ$76,47,FALSE),0)</f>
        <v>28</v>
      </c>
      <c r="AL23" s="30">
        <f>IFERROR(VLOOKUP(E23,[1]dashboard_SYAIFUL!$E$4:$AZ$76,48,FALSE),0)</f>
        <v>7</v>
      </c>
      <c r="AM23" s="30">
        <f>IFERROR(VLOOKUP(E23,[1]dashboard_SYAIFUL!$E$4:$BD$76,49,FALSE),0)</f>
        <v>11</v>
      </c>
      <c r="AN23" s="30">
        <f>IFERROR(VLOOKUP(E23,[1]dashboard_SYAIFUL!$E$4:$BD$76,50,FALSE),0)</f>
        <v>24</v>
      </c>
      <c r="AO23" s="30">
        <f>IFERROR(VLOOKUP('SUMMARY MT 2026'!$E23,[1]dashboard_SYAIFUL!$E$4:$CP$76,89,FALSE),0)</f>
        <v>0</v>
      </c>
      <c r="AP23" s="31">
        <f>IFERROR(VLOOKUP('SUMMARY MT 2026'!$E23,[1]dashboard_SYAIFUL!$E$4:$CP$76,90,FALSE),0)</f>
        <v>35</v>
      </c>
      <c r="AQ23" s="30"/>
      <c r="AR23" s="31">
        <f>35-Table2[[#This Row],[PARETO SKU MAR 2026]]</f>
        <v>35</v>
      </c>
      <c r="AS23" s="30"/>
      <c r="AT23" s="31">
        <f>35-Table2[[#This Row],[PARETO SKU MAR 2026]]</f>
        <v>35</v>
      </c>
      <c r="AU23" s="30"/>
      <c r="AV23" s="31">
        <f>35-Table2[[#This Row],[PARETO SKU MAR 2026]]</f>
        <v>35</v>
      </c>
      <c r="AW23" s="30"/>
      <c r="AX23" s="31">
        <f>35-Table2[[#This Row],[PARETO SKU MAR 2026]]</f>
        <v>35</v>
      </c>
      <c r="AY23" s="30"/>
      <c r="AZ23" s="31">
        <f>35-Table2[[#This Row],[PARETO SKU MAR 2026]]</f>
        <v>35</v>
      </c>
      <c r="BA23" s="30"/>
      <c r="BB23" s="31">
        <f>35-Table2[[#This Row],[PARETO SKU MAR 2026]]</f>
        <v>35</v>
      </c>
      <c r="BC23" s="30"/>
      <c r="BD23" s="31">
        <f>35-Table2[[#This Row],[PARETO SKU MAR 2026]]</f>
        <v>35</v>
      </c>
      <c r="BE23" s="30"/>
      <c r="BF23" s="31">
        <f>35-Table2[[#This Row],[PARETO SKU MAR 2026]]</f>
        <v>35</v>
      </c>
      <c r="BG23" s="30"/>
      <c r="BH23" s="31">
        <f>35-Table2[[#This Row],[PARETO SKU MAR 2026]]</f>
        <v>35</v>
      </c>
      <c r="BI23" s="30"/>
      <c r="BJ23" s="31">
        <f>35-Table2[[#This Row],[PARETO SKU MAR 2026]]</f>
        <v>35</v>
      </c>
      <c r="BL23" s="4"/>
    </row>
    <row r="24" spans="2:64" ht="27" customHeight="1" thickBot="1" x14ac:dyDescent="0.5">
      <c r="B24" s="45" t="s">
        <v>139</v>
      </c>
      <c r="C24" s="26">
        <f>RANK(IFERROR(VLOOKUP(Table2[[#This Row],[CUSTNO_DIST]],STM!B:C,2,FALSE),0),STM!$C$5:$C$65,0)</f>
        <v>17</v>
      </c>
      <c r="D24" s="46" t="s">
        <v>44</v>
      </c>
      <c r="E24" s="47" t="s">
        <v>45</v>
      </c>
      <c r="F24" s="32">
        <v>211292830.9991667</v>
      </c>
      <c r="G24" s="32">
        <v>17607735.916597225</v>
      </c>
      <c r="H24" s="26">
        <f t="shared" si="0"/>
        <v>21</v>
      </c>
      <c r="I24" s="32">
        <v>16481529.960069442</v>
      </c>
      <c r="J24" s="26">
        <f t="shared" si="1"/>
        <v>19</v>
      </c>
      <c r="K24" s="34">
        <f t="shared" si="3"/>
        <v>6.8331396372563358E-2</v>
      </c>
      <c r="L24" s="34">
        <f>IFERROR(VLOOKUP(Table2[[#This Row],[CUST-GROUP]],$E$70:$K$88,7,FALSE),0)</f>
        <v>0.1295445799804944</v>
      </c>
      <c r="M24" s="34">
        <f>IFERROR(VLOOKUP(E24,STM!G:K,4,FALSE),0)/G24-1</f>
        <v>-7.7007600694369294E-2</v>
      </c>
      <c r="N24" s="34">
        <f>IFERROR(VLOOKUP('SUMMARY MT 2026'!$B24,$E$70:$M$88,8,FALSE),0)</f>
        <v>0.47930016526078623</v>
      </c>
      <c r="O24" s="34">
        <f>IFERROR(VLOOKUP(E24,STM!G:K,5,FALSE),0)/G24-1</f>
        <v>0.23803114271790737</v>
      </c>
      <c r="P24" s="34">
        <f>IFERROR(VLOOKUP('SUMMARY MT 2026'!$B24,$E$70:$M$88,9,FALSE),0)</f>
        <v>-0.1322047187286205</v>
      </c>
      <c r="Q24" s="34"/>
      <c r="R24" s="34"/>
      <c r="S24" s="34"/>
      <c r="T24" s="34"/>
      <c r="U24" s="34"/>
      <c r="V24" s="34"/>
      <c r="W24" s="34"/>
      <c r="X24" s="34"/>
      <c r="Y24" s="34"/>
      <c r="Z24" s="34"/>
      <c r="AA24" s="34"/>
      <c r="AB24" s="34"/>
      <c r="AC24" s="34"/>
      <c r="AD24" s="34"/>
      <c r="AE24" s="34"/>
      <c r="AF24" s="34"/>
      <c r="AG24" s="34"/>
      <c r="AH24" s="34"/>
      <c r="AI24" s="34"/>
      <c r="AJ24" s="34"/>
      <c r="AK24" s="30">
        <f>IFERROR(VLOOKUP(E24,[1]dashboard_SYAIFUL!$E$4:$AZ$76,47,FALSE),0)</f>
        <v>20</v>
      </c>
      <c r="AL24" s="30">
        <f>IFERROR(VLOOKUP(E24,[1]dashboard_SYAIFUL!$E$4:$AZ$76,48,FALSE),0)</f>
        <v>15</v>
      </c>
      <c r="AM24" s="30">
        <f>IFERROR(VLOOKUP(E24,[1]dashboard_SYAIFUL!$E$4:$BD$76,49,FALSE),0)</f>
        <v>11</v>
      </c>
      <c r="AN24" s="30">
        <f>IFERROR(VLOOKUP(E24,[1]dashboard_SYAIFUL!$E$4:$BD$76,50,FALSE),0)</f>
        <v>24</v>
      </c>
      <c r="AO24" s="30">
        <f>IFERROR(VLOOKUP('SUMMARY MT 2026'!$E24,[1]dashboard_SYAIFUL!$E$4:$CP$76,89,FALSE),0)</f>
        <v>6</v>
      </c>
      <c r="AP24" s="31">
        <f>IFERROR(VLOOKUP('SUMMARY MT 2026'!$E24,[1]dashboard_SYAIFUL!$E$4:$CP$76,90,FALSE),0)</f>
        <v>29</v>
      </c>
      <c r="AQ24" s="30"/>
      <c r="AR24" s="31">
        <f>35-Table2[[#This Row],[PARETO SKU MAR 2026]]</f>
        <v>35</v>
      </c>
      <c r="AS24" s="30"/>
      <c r="AT24" s="31">
        <f>35-Table2[[#This Row],[PARETO SKU MAR 2026]]</f>
        <v>35</v>
      </c>
      <c r="AU24" s="30"/>
      <c r="AV24" s="31">
        <f>35-Table2[[#This Row],[PARETO SKU MAR 2026]]</f>
        <v>35</v>
      </c>
      <c r="AW24" s="30"/>
      <c r="AX24" s="31">
        <f>35-Table2[[#This Row],[PARETO SKU MAR 2026]]</f>
        <v>35</v>
      </c>
      <c r="AY24" s="30"/>
      <c r="AZ24" s="31">
        <f>35-Table2[[#This Row],[PARETO SKU MAR 2026]]</f>
        <v>35</v>
      </c>
      <c r="BA24" s="30"/>
      <c r="BB24" s="31">
        <f>35-Table2[[#This Row],[PARETO SKU MAR 2026]]</f>
        <v>35</v>
      </c>
      <c r="BC24" s="30"/>
      <c r="BD24" s="31">
        <f>35-Table2[[#This Row],[PARETO SKU MAR 2026]]</f>
        <v>35</v>
      </c>
      <c r="BE24" s="30"/>
      <c r="BF24" s="31">
        <f>35-Table2[[#This Row],[PARETO SKU MAR 2026]]</f>
        <v>35</v>
      </c>
      <c r="BG24" s="30"/>
      <c r="BH24" s="31">
        <f>35-Table2[[#This Row],[PARETO SKU MAR 2026]]</f>
        <v>35</v>
      </c>
      <c r="BI24" s="30"/>
      <c r="BJ24" s="31">
        <f>35-Table2[[#This Row],[PARETO SKU MAR 2026]]</f>
        <v>35</v>
      </c>
      <c r="BL24" s="4"/>
    </row>
    <row r="25" spans="2:64" ht="27" customHeight="1" thickBot="1" x14ac:dyDescent="0.5">
      <c r="B25" s="45" t="s">
        <v>133</v>
      </c>
      <c r="C25" s="26">
        <f>RANK(IFERROR(VLOOKUP(Table2[[#This Row],[CUSTNO_DIST]],STM!B:C,2,FALSE),0),STM!$C$5:$C$65,0)</f>
        <v>16</v>
      </c>
      <c r="D25" s="46" t="s">
        <v>54</v>
      </c>
      <c r="E25" s="47" t="s">
        <v>55</v>
      </c>
      <c r="F25" s="32">
        <v>206278807.86104169</v>
      </c>
      <c r="G25" s="32">
        <v>17189900.655086808</v>
      </c>
      <c r="H25" s="26">
        <f t="shared" si="0"/>
        <v>22</v>
      </c>
      <c r="I25" s="32">
        <v>16074225.178819442</v>
      </c>
      <c r="J25" s="26">
        <f t="shared" si="1"/>
        <v>20</v>
      </c>
      <c r="K25" s="34">
        <f t="shared" si="3"/>
        <v>6.9407729694956677E-2</v>
      </c>
      <c r="L25" s="34">
        <f>IFERROR(VLOOKUP(Table2[[#This Row],[CUST-GROUP]],$E$70:$K$88,7,FALSE),0)</f>
        <v>0.20819267436989897</v>
      </c>
      <c r="M25" s="34">
        <f>IFERROR(VLOOKUP(E25,STM!G:K,4,FALSE),0)/G25-1</f>
        <v>-0.44700404574839603</v>
      </c>
      <c r="N25" s="34">
        <f>IFERROR(VLOOKUP('SUMMARY MT 2026'!$B25,$E$70:$M$88,8,FALSE),0)</f>
        <v>0.23890658941664045</v>
      </c>
      <c r="O25" s="34">
        <f>IFERROR(VLOOKUP(E25,STM!G:K,5,FALSE),0)/G25-1</f>
        <v>0.75810329602206705</v>
      </c>
      <c r="P25" s="34">
        <f>IFERROR(VLOOKUP('SUMMARY MT 2026'!$B25,$E$70:$M$88,9,FALSE),0)</f>
        <v>-0.33936199861588745</v>
      </c>
      <c r="Q25" s="34"/>
      <c r="R25" s="34"/>
      <c r="S25" s="34"/>
      <c r="T25" s="34"/>
      <c r="U25" s="34"/>
      <c r="V25" s="34"/>
      <c r="W25" s="34"/>
      <c r="X25" s="34"/>
      <c r="Y25" s="34"/>
      <c r="Z25" s="34"/>
      <c r="AA25" s="34"/>
      <c r="AB25" s="34"/>
      <c r="AC25" s="34"/>
      <c r="AD25" s="34"/>
      <c r="AE25" s="34"/>
      <c r="AF25" s="34"/>
      <c r="AG25" s="34"/>
      <c r="AH25" s="34"/>
      <c r="AI25" s="34"/>
      <c r="AJ25" s="34"/>
      <c r="AK25" s="30">
        <f>IFERROR(VLOOKUP(E25,[1]dashboard_SYAIFUL!$E$4:$AZ$76,47,FALSE),0)</f>
        <v>20</v>
      </c>
      <c r="AL25" s="30">
        <f>IFERROR(VLOOKUP(E25,[1]dashboard_SYAIFUL!$E$4:$AZ$76,48,FALSE),0)</f>
        <v>15</v>
      </c>
      <c r="AM25" s="30">
        <f>IFERROR(VLOOKUP(E25,[1]dashboard_SYAIFUL!$E$4:$BD$76,49,FALSE),0)</f>
        <v>12</v>
      </c>
      <c r="AN25" s="30">
        <f>IFERROR(VLOOKUP(E25,[1]dashboard_SYAIFUL!$E$4:$BD$76,50,FALSE),0)</f>
        <v>23</v>
      </c>
      <c r="AO25" s="30">
        <f>IFERROR(VLOOKUP('SUMMARY MT 2026'!$E25,[1]dashboard_SYAIFUL!$E$4:$CP$76,89,FALSE),0)</f>
        <v>10</v>
      </c>
      <c r="AP25" s="31">
        <f>IFERROR(VLOOKUP('SUMMARY MT 2026'!$E25,[1]dashboard_SYAIFUL!$E$4:$CP$76,90,FALSE),0)</f>
        <v>25</v>
      </c>
      <c r="AQ25" s="30"/>
      <c r="AR25" s="31">
        <f>35-Table2[[#This Row],[PARETO SKU MAR 2026]]</f>
        <v>35</v>
      </c>
      <c r="AS25" s="30"/>
      <c r="AT25" s="31">
        <f>35-Table2[[#This Row],[PARETO SKU MAR 2026]]</f>
        <v>35</v>
      </c>
      <c r="AU25" s="30"/>
      <c r="AV25" s="31">
        <f>35-Table2[[#This Row],[PARETO SKU MAR 2026]]</f>
        <v>35</v>
      </c>
      <c r="AW25" s="30"/>
      <c r="AX25" s="31">
        <f>35-Table2[[#This Row],[PARETO SKU MAR 2026]]</f>
        <v>35</v>
      </c>
      <c r="AY25" s="30"/>
      <c r="AZ25" s="31">
        <f>35-Table2[[#This Row],[PARETO SKU MAR 2026]]</f>
        <v>35</v>
      </c>
      <c r="BA25" s="30"/>
      <c r="BB25" s="31">
        <f>35-Table2[[#This Row],[PARETO SKU MAR 2026]]</f>
        <v>35</v>
      </c>
      <c r="BC25" s="30"/>
      <c r="BD25" s="31">
        <f>35-Table2[[#This Row],[PARETO SKU MAR 2026]]</f>
        <v>35</v>
      </c>
      <c r="BE25" s="30"/>
      <c r="BF25" s="31">
        <f>35-Table2[[#This Row],[PARETO SKU MAR 2026]]</f>
        <v>35</v>
      </c>
      <c r="BG25" s="30"/>
      <c r="BH25" s="31">
        <f>35-Table2[[#This Row],[PARETO SKU MAR 2026]]</f>
        <v>35</v>
      </c>
      <c r="BI25" s="30"/>
      <c r="BJ25" s="31">
        <f>35-Table2[[#This Row],[PARETO SKU MAR 2026]]</f>
        <v>35</v>
      </c>
      <c r="BL25" s="4"/>
    </row>
    <row r="26" spans="2:64" ht="27" customHeight="1" thickBot="1" x14ac:dyDescent="0.5">
      <c r="B26" s="45" t="s">
        <v>139</v>
      </c>
      <c r="C26" s="26">
        <f>RANK(IFERROR(VLOOKUP(Table2[[#This Row],[CUSTNO_DIST]],STM!B:C,2,FALSE),0),STM!$C$5:$C$65,0)</f>
        <v>10</v>
      </c>
      <c r="D26" s="46" t="s">
        <v>56</v>
      </c>
      <c r="E26" s="47" t="s">
        <v>57</v>
      </c>
      <c r="F26" s="32">
        <v>200677363.94687501</v>
      </c>
      <c r="G26" s="32">
        <v>16723113.662239583</v>
      </c>
      <c r="H26" s="26">
        <f t="shared" si="0"/>
        <v>23</v>
      </c>
      <c r="I26" s="32">
        <v>9259149.3967013899</v>
      </c>
      <c r="J26" s="26">
        <f t="shared" si="1"/>
        <v>32</v>
      </c>
      <c r="K26" s="34">
        <f t="shared" si="3"/>
        <v>0.80611770539065519</v>
      </c>
      <c r="L26" s="34">
        <f>IFERROR(VLOOKUP(Table2[[#This Row],[CUST-GROUP]],$E$70:$K$88,7,FALSE),0)</f>
        <v>0.1295445799804944</v>
      </c>
      <c r="M26" s="34">
        <f>IFERROR(VLOOKUP(E26,STM!G:K,4,FALSE),0)/G26-1</f>
        <v>0.80003386508319396</v>
      </c>
      <c r="N26" s="34">
        <f>IFERROR(VLOOKUP('SUMMARY MT 2026'!$B26,$E$70:$M$88,8,FALSE),0)</f>
        <v>0.47930016526078623</v>
      </c>
      <c r="O26" s="34">
        <f>IFERROR(VLOOKUP(E26,STM!G:K,5,FALSE),0)/G26-1</f>
        <v>0.7585954444315175</v>
      </c>
      <c r="P26" s="34">
        <f>IFERROR(VLOOKUP('SUMMARY MT 2026'!$B26,$E$70:$M$88,9,FALSE),0)</f>
        <v>-0.1322047187286205</v>
      </c>
      <c r="Q26" s="34"/>
      <c r="R26" s="34"/>
      <c r="S26" s="34"/>
      <c r="T26" s="34"/>
      <c r="U26" s="34"/>
      <c r="V26" s="34"/>
      <c r="W26" s="34"/>
      <c r="X26" s="34"/>
      <c r="Y26" s="34"/>
      <c r="Z26" s="34"/>
      <c r="AA26" s="34"/>
      <c r="AB26" s="34"/>
      <c r="AC26" s="34"/>
      <c r="AD26" s="34"/>
      <c r="AE26" s="34"/>
      <c r="AF26" s="34"/>
      <c r="AG26" s="34"/>
      <c r="AH26" s="34"/>
      <c r="AI26" s="34"/>
      <c r="AJ26" s="34"/>
      <c r="AK26" s="30">
        <f>IFERROR(VLOOKUP(E26,[1]dashboard_SYAIFUL!$E$4:$AZ$76,47,FALSE),0)</f>
        <v>13</v>
      </c>
      <c r="AL26" s="30">
        <f>IFERROR(VLOOKUP(E26,[1]dashboard_SYAIFUL!$E$4:$AZ$76,48,FALSE),0)</f>
        <v>22</v>
      </c>
      <c r="AM26" s="30">
        <f>IFERROR(VLOOKUP(E26,[1]dashboard_SYAIFUL!$E$4:$BD$76,49,FALSE),0)</f>
        <v>12</v>
      </c>
      <c r="AN26" s="30">
        <f>IFERROR(VLOOKUP(E26,[1]dashboard_SYAIFUL!$E$4:$BD$76,50,FALSE),0)</f>
        <v>23</v>
      </c>
      <c r="AO26" s="30">
        <f>IFERROR(VLOOKUP('SUMMARY MT 2026'!$E26,[1]dashboard_SYAIFUL!$E$4:$CP$76,89,FALSE),0)</f>
        <v>9</v>
      </c>
      <c r="AP26" s="31">
        <f>IFERROR(VLOOKUP('SUMMARY MT 2026'!$E26,[1]dashboard_SYAIFUL!$E$4:$CP$76,90,FALSE),0)</f>
        <v>26</v>
      </c>
      <c r="AQ26" s="30"/>
      <c r="AR26" s="31">
        <f>35-Table2[[#This Row],[PARETO SKU MAR 2026]]</f>
        <v>35</v>
      </c>
      <c r="AS26" s="30"/>
      <c r="AT26" s="31">
        <f>35-Table2[[#This Row],[PARETO SKU MAR 2026]]</f>
        <v>35</v>
      </c>
      <c r="AU26" s="30"/>
      <c r="AV26" s="31">
        <f>35-Table2[[#This Row],[PARETO SKU MAR 2026]]</f>
        <v>35</v>
      </c>
      <c r="AW26" s="30"/>
      <c r="AX26" s="31">
        <f>35-Table2[[#This Row],[PARETO SKU MAR 2026]]</f>
        <v>35</v>
      </c>
      <c r="AY26" s="30"/>
      <c r="AZ26" s="31">
        <f>35-Table2[[#This Row],[PARETO SKU MAR 2026]]</f>
        <v>35</v>
      </c>
      <c r="BA26" s="30"/>
      <c r="BB26" s="31">
        <f>35-Table2[[#This Row],[PARETO SKU MAR 2026]]</f>
        <v>35</v>
      </c>
      <c r="BC26" s="30"/>
      <c r="BD26" s="31">
        <f>35-Table2[[#This Row],[PARETO SKU MAR 2026]]</f>
        <v>35</v>
      </c>
      <c r="BE26" s="30"/>
      <c r="BF26" s="31">
        <f>35-Table2[[#This Row],[PARETO SKU MAR 2026]]</f>
        <v>35</v>
      </c>
      <c r="BG26" s="30"/>
      <c r="BH26" s="31">
        <f>35-Table2[[#This Row],[PARETO SKU MAR 2026]]</f>
        <v>35</v>
      </c>
      <c r="BI26" s="30"/>
      <c r="BJ26" s="31">
        <f>35-Table2[[#This Row],[PARETO SKU MAR 2026]]</f>
        <v>35</v>
      </c>
      <c r="BL26" s="4"/>
    </row>
    <row r="27" spans="2:64" ht="27" customHeight="1" thickBot="1" x14ac:dyDescent="0.5">
      <c r="B27" s="45" t="s">
        <v>137</v>
      </c>
      <c r="C27" s="26">
        <f>RANK(IFERROR(VLOOKUP(Table2[[#This Row],[CUSTNO_DIST]],STM!B:C,2,FALSE),0),STM!$C$5:$C$65,0)</f>
        <v>24</v>
      </c>
      <c r="D27" s="46" t="s">
        <v>58</v>
      </c>
      <c r="E27" s="47" t="s">
        <v>59</v>
      </c>
      <c r="F27" s="32">
        <v>200451896.24520838</v>
      </c>
      <c r="G27" s="32">
        <v>16704324.687100699</v>
      </c>
      <c r="H27" s="26">
        <f t="shared" si="0"/>
        <v>24</v>
      </c>
      <c r="I27" s="32">
        <v>10098603.874131948</v>
      </c>
      <c r="J27" s="26">
        <f t="shared" si="1"/>
        <v>30</v>
      </c>
      <c r="K27" s="34">
        <f t="shared" si="3"/>
        <v>0.65412218315539827</v>
      </c>
      <c r="L27" s="34">
        <f>IFERROR(VLOOKUP(Table2[[#This Row],[CUST-GROUP]],$E$70:$K$88,7,FALSE),0)</f>
        <v>0.31105346786620669</v>
      </c>
      <c r="M27" s="34">
        <f>IFERROR(VLOOKUP(E27,STM!G:K,4,FALSE),0)/G27-1</f>
        <v>0.20219720582094802</v>
      </c>
      <c r="N27" s="34">
        <f>IFERROR(VLOOKUP('SUMMARY MT 2026'!$B27,$E$70:$M$88,8,FALSE),0)</f>
        <v>-0.20246099853772914</v>
      </c>
      <c r="O27" s="34">
        <f>IFERROR(VLOOKUP(E27,STM!G:K,5,FALSE),0)/G27-1</f>
        <v>-0.63819050443762682</v>
      </c>
      <c r="P27" s="34">
        <f>IFERROR(VLOOKUP('SUMMARY MT 2026'!$B27,$E$70:$M$88,9,FALSE),0)</f>
        <v>-0.48667136440256498</v>
      </c>
      <c r="Q27" s="34"/>
      <c r="R27" s="34"/>
      <c r="S27" s="34"/>
      <c r="T27" s="34"/>
      <c r="U27" s="34"/>
      <c r="V27" s="34"/>
      <c r="W27" s="34"/>
      <c r="X27" s="34"/>
      <c r="Y27" s="34"/>
      <c r="Z27" s="34"/>
      <c r="AA27" s="34"/>
      <c r="AB27" s="34"/>
      <c r="AC27" s="34"/>
      <c r="AD27" s="34"/>
      <c r="AE27" s="34"/>
      <c r="AF27" s="34"/>
      <c r="AG27" s="34"/>
      <c r="AH27" s="34"/>
      <c r="AI27" s="34"/>
      <c r="AJ27" s="34"/>
      <c r="AK27" s="30">
        <f>IFERROR(VLOOKUP(E27,[1]dashboard_SYAIFUL!$E$4:$AZ$76,47,FALSE),0)</f>
        <v>30</v>
      </c>
      <c r="AL27" s="30">
        <f>IFERROR(VLOOKUP(E27,[1]dashboard_SYAIFUL!$E$4:$AZ$76,48,FALSE),0)</f>
        <v>5</v>
      </c>
      <c r="AM27" s="30">
        <f>IFERROR(VLOOKUP(E27,[1]dashboard_SYAIFUL!$E$4:$BD$76,49,FALSE),0)</f>
        <v>16</v>
      </c>
      <c r="AN27" s="30">
        <f>IFERROR(VLOOKUP(E27,[1]dashboard_SYAIFUL!$E$4:$BD$76,50,FALSE),0)</f>
        <v>19</v>
      </c>
      <c r="AO27" s="30">
        <f>IFERROR(VLOOKUP('SUMMARY MT 2026'!$E27,[1]dashboard_SYAIFUL!$E$4:$CP$76,89,FALSE),0)</f>
        <v>10</v>
      </c>
      <c r="AP27" s="31">
        <f>IFERROR(VLOOKUP('SUMMARY MT 2026'!$E27,[1]dashboard_SYAIFUL!$E$4:$CP$76,90,FALSE),0)</f>
        <v>25</v>
      </c>
      <c r="AQ27" s="30"/>
      <c r="AR27" s="31">
        <f>35-Table2[[#This Row],[PARETO SKU MAR 2026]]</f>
        <v>35</v>
      </c>
      <c r="AS27" s="30"/>
      <c r="AT27" s="31">
        <f>35-Table2[[#This Row],[PARETO SKU MAR 2026]]</f>
        <v>35</v>
      </c>
      <c r="AU27" s="30"/>
      <c r="AV27" s="31">
        <f>35-Table2[[#This Row],[PARETO SKU MAR 2026]]</f>
        <v>35</v>
      </c>
      <c r="AW27" s="30"/>
      <c r="AX27" s="31">
        <f>35-Table2[[#This Row],[PARETO SKU MAR 2026]]</f>
        <v>35</v>
      </c>
      <c r="AY27" s="30"/>
      <c r="AZ27" s="31">
        <f>35-Table2[[#This Row],[PARETO SKU MAR 2026]]</f>
        <v>35</v>
      </c>
      <c r="BA27" s="30"/>
      <c r="BB27" s="31">
        <f>35-Table2[[#This Row],[PARETO SKU MAR 2026]]</f>
        <v>35</v>
      </c>
      <c r="BC27" s="30"/>
      <c r="BD27" s="31">
        <f>35-Table2[[#This Row],[PARETO SKU MAR 2026]]</f>
        <v>35</v>
      </c>
      <c r="BE27" s="30"/>
      <c r="BF27" s="31">
        <f>35-Table2[[#This Row],[PARETO SKU MAR 2026]]</f>
        <v>35</v>
      </c>
      <c r="BG27" s="30"/>
      <c r="BH27" s="31">
        <f>35-Table2[[#This Row],[PARETO SKU MAR 2026]]</f>
        <v>35</v>
      </c>
      <c r="BI27" s="30"/>
      <c r="BJ27" s="31">
        <f>35-Table2[[#This Row],[PARETO SKU MAR 2026]]</f>
        <v>35</v>
      </c>
      <c r="BL27" s="4"/>
    </row>
    <row r="28" spans="2:64" ht="27" customHeight="1" thickBot="1" x14ac:dyDescent="0.5">
      <c r="B28" s="45" t="s">
        <v>137</v>
      </c>
      <c r="C28" s="26">
        <f>RANK(IFERROR(VLOOKUP(Table2[[#This Row],[CUSTNO_DIST]],STM!B:C,2,FALSE),0),STM!$C$5:$C$65,0)</f>
        <v>32</v>
      </c>
      <c r="D28" s="46" t="s">
        <v>46</v>
      </c>
      <c r="E28" s="47" t="s">
        <v>47</v>
      </c>
      <c r="F28" s="32">
        <v>196301635.81718755</v>
      </c>
      <c r="G28" s="32">
        <v>16358469.651432296</v>
      </c>
      <c r="H28" s="26">
        <f t="shared" si="0"/>
        <v>25</v>
      </c>
      <c r="I28" s="32">
        <v>15918938.78819445</v>
      </c>
      <c r="J28" s="26">
        <f t="shared" si="1"/>
        <v>21</v>
      </c>
      <c r="K28" s="34">
        <f t="shared" si="3"/>
        <v>2.7610563058625859E-2</v>
      </c>
      <c r="L28" s="34">
        <f>IFERROR(VLOOKUP(Table2[[#This Row],[CUST-GROUP]],$E$70:$K$88,7,FALSE),0)</f>
        <v>0.31105346786620669</v>
      </c>
      <c r="M28" s="34">
        <f>IFERROR(VLOOKUP(E28,STM!G:K,4,FALSE),0)/G28-1</f>
        <v>-0.59754709145127349</v>
      </c>
      <c r="N28" s="34">
        <f>IFERROR(VLOOKUP('SUMMARY MT 2026'!$B28,$E$70:$M$88,8,FALSE),0)</f>
        <v>-0.20246099853772914</v>
      </c>
      <c r="O28" s="34">
        <f>IFERROR(VLOOKUP(E28,STM!G:K,5,FALSE),0)/G28-1</f>
        <v>-0.38849774241417834</v>
      </c>
      <c r="P28" s="34">
        <f>IFERROR(VLOOKUP('SUMMARY MT 2026'!$B28,$E$70:$M$88,9,FALSE),0)</f>
        <v>-0.48667136440256498</v>
      </c>
      <c r="Q28" s="34"/>
      <c r="R28" s="34"/>
      <c r="S28" s="34"/>
      <c r="T28" s="34"/>
      <c r="U28" s="34"/>
      <c r="V28" s="34"/>
      <c r="W28" s="34"/>
      <c r="X28" s="34"/>
      <c r="Y28" s="34"/>
      <c r="Z28" s="34"/>
      <c r="AA28" s="34"/>
      <c r="AB28" s="34"/>
      <c r="AC28" s="34"/>
      <c r="AD28" s="34"/>
      <c r="AE28" s="34"/>
      <c r="AF28" s="34"/>
      <c r="AG28" s="34"/>
      <c r="AH28" s="34"/>
      <c r="AI28" s="34"/>
      <c r="AJ28" s="34"/>
      <c r="AK28" s="30">
        <f>IFERROR(VLOOKUP(E28,[1]dashboard_SYAIFUL!$E$4:$AZ$76,47,FALSE),0)</f>
        <v>28</v>
      </c>
      <c r="AL28" s="30">
        <f>IFERROR(VLOOKUP(E28,[1]dashboard_SYAIFUL!$E$4:$AZ$76,48,FALSE),0)</f>
        <v>7</v>
      </c>
      <c r="AM28" s="30">
        <f>IFERROR(VLOOKUP(E28,[1]dashboard_SYAIFUL!$E$4:$BD$76,49,FALSE),0)</f>
        <v>15</v>
      </c>
      <c r="AN28" s="30">
        <f>IFERROR(VLOOKUP(E28,[1]dashboard_SYAIFUL!$E$4:$BD$76,50,FALSE),0)</f>
        <v>20</v>
      </c>
      <c r="AO28" s="30">
        <f>IFERROR(VLOOKUP('SUMMARY MT 2026'!$E28,[1]dashboard_SYAIFUL!$E$4:$CP$76,89,FALSE),0)</f>
        <v>17</v>
      </c>
      <c r="AP28" s="31">
        <f>IFERROR(VLOOKUP('SUMMARY MT 2026'!$E28,[1]dashboard_SYAIFUL!$E$4:$CP$76,90,FALSE),0)</f>
        <v>18</v>
      </c>
      <c r="AQ28" s="30"/>
      <c r="AR28" s="31">
        <f>35-Table2[[#This Row],[PARETO SKU MAR 2026]]</f>
        <v>35</v>
      </c>
      <c r="AS28" s="30"/>
      <c r="AT28" s="31">
        <f>35-Table2[[#This Row],[PARETO SKU MAR 2026]]</f>
        <v>35</v>
      </c>
      <c r="AU28" s="30"/>
      <c r="AV28" s="31">
        <f>35-Table2[[#This Row],[PARETO SKU MAR 2026]]</f>
        <v>35</v>
      </c>
      <c r="AW28" s="30"/>
      <c r="AX28" s="31">
        <f>35-Table2[[#This Row],[PARETO SKU MAR 2026]]</f>
        <v>35</v>
      </c>
      <c r="AY28" s="30"/>
      <c r="AZ28" s="31">
        <f>35-Table2[[#This Row],[PARETO SKU MAR 2026]]</f>
        <v>35</v>
      </c>
      <c r="BA28" s="30"/>
      <c r="BB28" s="31">
        <f>35-Table2[[#This Row],[PARETO SKU MAR 2026]]</f>
        <v>35</v>
      </c>
      <c r="BC28" s="30"/>
      <c r="BD28" s="31">
        <f>35-Table2[[#This Row],[PARETO SKU MAR 2026]]</f>
        <v>35</v>
      </c>
      <c r="BE28" s="30"/>
      <c r="BF28" s="31">
        <f>35-Table2[[#This Row],[PARETO SKU MAR 2026]]</f>
        <v>35</v>
      </c>
      <c r="BG28" s="30"/>
      <c r="BH28" s="31">
        <f>35-Table2[[#This Row],[PARETO SKU MAR 2026]]</f>
        <v>35</v>
      </c>
      <c r="BI28" s="30"/>
      <c r="BJ28" s="31">
        <f>35-Table2[[#This Row],[PARETO SKU MAR 2026]]</f>
        <v>35</v>
      </c>
      <c r="BL28" s="4"/>
    </row>
    <row r="29" spans="2:64" ht="27" customHeight="1" thickBot="1" x14ac:dyDescent="0.5">
      <c r="B29" s="45" t="s">
        <v>141</v>
      </c>
      <c r="C29" s="26">
        <f>RANK(IFERROR(VLOOKUP(Table2[[#This Row],[CUSTNO_DIST]],STM!B:C,2,FALSE),0),STM!$C$5:$C$65,0)</f>
        <v>31</v>
      </c>
      <c r="D29" s="46" t="s">
        <v>62</v>
      </c>
      <c r="E29" s="47" t="s">
        <v>63</v>
      </c>
      <c r="F29" s="32">
        <v>183317103.09479168</v>
      </c>
      <c r="G29" s="32">
        <v>15276425.257899307</v>
      </c>
      <c r="H29" s="26">
        <f t="shared" si="0"/>
        <v>26</v>
      </c>
      <c r="I29" s="32">
        <v>10530829.624131946</v>
      </c>
      <c r="J29" s="26">
        <f t="shared" si="1"/>
        <v>28</v>
      </c>
      <c r="K29" s="34">
        <f t="shared" si="3"/>
        <v>0.45063834504477973</v>
      </c>
      <c r="L29" s="34">
        <f>IFERROR(VLOOKUP(Table2[[#This Row],[CUST-GROUP]],$E$70:$K$88,7,FALSE),0)</f>
        <v>0.35823921847321993</v>
      </c>
      <c r="M29" s="34">
        <f>IFERROR(VLOOKUP(E29,STM!G:K,4,FALSE),0)/G29-1</f>
        <v>-0.55890345223578108</v>
      </c>
      <c r="N29" s="34">
        <f>IFERROR(VLOOKUP('SUMMARY MT 2026'!$B29,$E$70:$M$88,8,FALSE),0)</f>
        <v>-0.45732064925112437</v>
      </c>
      <c r="O29" s="34">
        <f>IFERROR(VLOOKUP(E29,STM!G:K,5,FALSE),0)/G29-1</f>
        <v>-0.12930655623296905</v>
      </c>
      <c r="P29" s="34">
        <f>IFERROR(VLOOKUP('SUMMARY MT 2026'!$B29,$E$70:$M$88,9,FALSE),0)</f>
        <v>-0.13244491115437163</v>
      </c>
      <c r="Q29" s="34"/>
      <c r="R29" s="34"/>
      <c r="S29" s="34"/>
      <c r="T29" s="34"/>
      <c r="U29" s="34"/>
      <c r="V29" s="34"/>
      <c r="W29" s="34"/>
      <c r="X29" s="34"/>
      <c r="Y29" s="34"/>
      <c r="Z29" s="34"/>
      <c r="AA29" s="34"/>
      <c r="AB29" s="34"/>
      <c r="AC29" s="34"/>
      <c r="AD29" s="34"/>
      <c r="AE29" s="34"/>
      <c r="AF29" s="34"/>
      <c r="AG29" s="34"/>
      <c r="AH29" s="34"/>
      <c r="AI29" s="34"/>
      <c r="AJ29" s="34"/>
      <c r="AK29" s="30">
        <f>IFERROR(VLOOKUP(E29,[1]dashboard_SYAIFUL!$E$4:$AZ$76,47,FALSE),0)</f>
        <v>15</v>
      </c>
      <c r="AL29" s="30">
        <f>IFERROR(VLOOKUP(E29,[1]dashboard_SYAIFUL!$E$4:$AZ$76,48,FALSE),0)</f>
        <v>20</v>
      </c>
      <c r="AM29" s="30">
        <f>IFERROR(VLOOKUP(E29,[1]dashboard_SYAIFUL!$E$4:$BD$76,49,FALSE),0)</f>
        <v>9</v>
      </c>
      <c r="AN29" s="30">
        <f>IFERROR(VLOOKUP(E29,[1]dashboard_SYAIFUL!$E$4:$BD$76,50,FALSE),0)</f>
        <v>26</v>
      </c>
      <c r="AO29" s="30">
        <f>IFERROR(VLOOKUP('SUMMARY MT 2026'!$E29,[1]dashboard_SYAIFUL!$E$4:$CP$76,89,FALSE),0)</f>
        <v>9</v>
      </c>
      <c r="AP29" s="31">
        <f>IFERROR(VLOOKUP('SUMMARY MT 2026'!$E29,[1]dashboard_SYAIFUL!$E$4:$CP$76,90,FALSE),0)</f>
        <v>26</v>
      </c>
      <c r="AQ29" s="30"/>
      <c r="AR29" s="31">
        <f>35-Table2[[#This Row],[PARETO SKU MAR 2026]]</f>
        <v>35</v>
      </c>
      <c r="AS29" s="30"/>
      <c r="AT29" s="31">
        <f>35-Table2[[#This Row],[PARETO SKU MAR 2026]]</f>
        <v>35</v>
      </c>
      <c r="AU29" s="30"/>
      <c r="AV29" s="31">
        <f>35-Table2[[#This Row],[PARETO SKU MAR 2026]]</f>
        <v>35</v>
      </c>
      <c r="AW29" s="30"/>
      <c r="AX29" s="31">
        <f>35-Table2[[#This Row],[PARETO SKU MAR 2026]]</f>
        <v>35</v>
      </c>
      <c r="AY29" s="30"/>
      <c r="AZ29" s="31">
        <f>35-Table2[[#This Row],[PARETO SKU MAR 2026]]</f>
        <v>35</v>
      </c>
      <c r="BA29" s="30"/>
      <c r="BB29" s="31">
        <f>35-Table2[[#This Row],[PARETO SKU MAR 2026]]</f>
        <v>35</v>
      </c>
      <c r="BC29" s="30"/>
      <c r="BD29" s="31">
        <f>35-Table2[[#This Row],[PARETO SKU MAR 2026]]</f>
        <v>35</v>
      </c>
      <c r="BE29" s="30"/>
      <c r="BF29" s="31">
        <f>35-Table2[[#This Row],[PARETO SKU MAR 2026]]</f>
        <v>35</v>
      </c>
      <c r="BG29" s="30"/>
      <c r="BH29" s="31">
        <f>35-Table2[[#This Row],[PARETO SKU MAR 2026]]</f>
        <v>35</v>
      </c>
      <c r="BI29" s="30"/>
      <c r="BJ29" s="31">
        <f>35-Table2[[#This Row],[PARETO SKU MAR 2026]]</f>
        <v>35</v>
      </c>
      <c r="BL29" s="4"/>
    </row>
    <row r="30" spans="2:64" ht="27" customHeight="1" thickBot="1" x14ac:dyDescent="0.5">
      <c r="B30" s="45" t="s">
        <v>139</v>
      </c>
      <c r="C30" s="26">
        <f>RANK(IFERROR(VLOOKUP(Table2[[#This Row],[CUSTNO_DIST]],STM!B:C,2,FALSE),0),STM!$C$5:$C$65,0)</f>
        <v>29</v>
      </c>
      <c r="D30" s="46" t="s">
        <v>48</v>
      </c>
      <c r="E30" s="47" t="s">
        <v>49</v>
      </c>
      <c r="F30" s="32">
        <v>177678852.55125001</v>
      </c>
      <c r="G30" s="32">
        <v>14806571.045937501</v>
      </c>
      <c r="H30" s="26">
        <f t="shared" si="0"/>
        <v>27</v>
      </c>
      <c r="I30" s="32">
        <v>14090134.746527778</v>
      </c>
      <c r="J30" s="26">
        <f t="shared" si="1"/>
        <v>23</v>
      </c>
      <c r="K30" s="34">
        <f t="shared" si="3"/>
        <v>5.0846660610273764E-2</v>
      </c>
      <c r="L30" s="34">
        <f>IFERROR(VLOOKUP(Table2[[#This Row],[CUST-GROUP]],$E$70:$K$88,7,FALSE),0)</f>
        <v>0.1295445799804944</v>
      </c>
      <c r="M30" s="34">
        <f>IFERROR(VLOOKUP(E30,STM!G:K,4,FALSE),0)/G30-1</f>
        <v>0.24447487278330304</v>
      </c>
      <c r="N30" s="34">
        <f>IFERROR(VLOOKUP('SUMMARY MT 2026'!$B30,$E$70:$M$88,8,FALSE),0)</f>
        <v>0.47930016526078623</v>
      </c>
      <c r="O30" s="34">
        <f>IFERROR(VLOOKUP(E30,STM!G:K,5,FALSE),0)/G30-1</f>
        <v>-0.87839593490019985</v>
      </c>
      <c r="P30" s="34">
        <f>IFERROR(VLOOKUP('SUMMARY MT 2026'!$B30,$E$70:$M$88,9,FALSE),0)</f>
        <v>-0.1322047187286205</v>
      </c>
      <c r="Q30" s="34"/>
      <c r="R30" s="34"/>
      <c r="S30" s="34"/>
      <c r="T30" s="34"/>
      <c r="U30" s="34"/>
      <c r="V30" s="34"/>
      <c r="W30" s="34"/>
      <c r="X30" s="34"/>
      <c r="Y30" s="34"/>
      <c r="Z30" s="34"/>
      <c r="AA30" s="34"/>
      <c r="AB30" s="34"/>
      <c r="AC30" s="34"/>
      <c r="AD30" s="34"/>
      <c r="AE30" s="34"/>
      <c r="AF30" s="34"/>
      <c r="AG30" s="34"/>
      <c r="AH30" s="34"/>
      <c r="AI30" s="34"/>
      <c r="AJ30" s="34"/>
      <c r="AK30" s="30">
        <f>IFERROR(VLOOKUP(E30,[1]dashboard_SYAIFUL!$E$4:$AZ$76,47,FALSE),0)</f>
        <v>18</v>
      </c>
      <c r="AL30" s="30">
        <f>IFERROR(VLOOKUP(E30,[1]dashboard_SYAIFUL!$E$4:$AZ$76,48,FALSE),0)</f>
        <v>17</v>
      </c>
      <c r="AM30" s="30">
        <f>IFERROR(VLOOKUP(E30,[1]dashboard_SYAIFUL!$E$4:$BD$76,49,FALSE),0)</f>
        <v>11</v>
      </c>
      <c r="AN30" s="30">
        <f>IFERROR(VLOOKUP(E30,[1]dashboard_SYAIFUL!$E$4:$BD$76,50,FALSE),0)</f>
        <v>24</v>
      </c>
      <c r="AO30" s="30">
        <f>IFERROR(VLOOKUP('SUMMARY MT 2026'!$E30,[1]dashboard_SYAIFUL!$E$4:$CP$76,89,FALSE),0)</f>
        <v>2</v>
      </c>
      <c r="AP30" s="31">
        <f>IFERROR(VLOOKUP('SUMMARY MT 2026'!$E30,[1]dashboard_SYAIFUL!$E$4:$CP$76,90,FALSE),0)</f>
        <v>33</v>
      </c>
      <c r="AQ30" s="30"/>
      <c r="AR30" s="31">
        <f>35-Table2[[#This Row],[PARETO SKU MAR 2026]]</f>
        <v>35</v>
      </c>
      <c r="AS30" s="30"/>
      <c r="AT30" s="31">
        <f>35-Table2[[#This Row],[PARETO SKU MAR 2026]]</f>
        <v>35</v>
      </c>
      <c r="AU30" s="30"/>
      <c r="AV30" s="31">
        <f>35-Table2[[#This Row],[PARETO SKU MAR 2026]]</f>
        <v>35</v>
      </c>
      <c r="AW30" s="30"/>
      <c r="AX30" s="31">
        <f>35-Table2[[#This Row],[PARETO SKU MAR 2026]]</f>
        <v>35</v>
      </c>
      <c r="AY30" s="30"/>
      <c r="AZ30" s="31">
        <f>35-Table2[[#This Row],[PARETO SKU MAR 2026]]</f>
        <v>35</v>
      </c>
      <c r="BA30" s="30"/>
      <c r="BB30" s="31">
        <f>35-Table2[[#This Row],[PARETO SKU MAR 2026]]</f>
        <v>35</v>
      </c>
      <c r="BC30" s="30"/>
      <c r="BD30" s="31">
        <f>35-Table2[[#This Row],[PARETO SKU MAR 2026]]</f>
        <v>35</v>
      </c>
      <c r="BE30" s="30"/>
      <c r="BF30" s="31">
        <f>35-Table2[[#This Row],[PARETO SKU MAR 2026]]</f>
        <v>35</v>
      </c>
      <c r="BG30" s="30"/>
      <c r="BH30" s="31">
        <f>35-Table2[[#This Row],[PARETO SKU MAR 2026]]</f>
        <v>35</v>
      </c>
      <c r="BI30" s="30"/>
      <c r="BJ30" s="31">
        <f>35-Table2[[#This Row],[PARETO SKU MAR 2026]]</f>
        <v>35</v>
      </c>
      <c r="BL30" s="4"/>
    </row>
    <row r="31" spans="2:64" ht="27" customHeight="1" thickBot="1" x14ac:dyDescent="0.5">
      <c r="B31" s="45" t="s">
        <v>143</v>
      </c>
      <c r="C31" s="26">
        <f>RANK(IFERROR(VLOOKUP(Table2[[#This Row],[CUSTNO_DIST]],STM!B:C,2,FALSE),0),STM!$C$5:$C$65,0)</f>
        <v>15</v>
      </c>
      <c r="D31" s="46" t="s">
        <v>60</v>
      </c>
      <c r="E31" s="47" t="s">
        <v>61</v>
      </c>
      <c r="F31" s="32">
        <v>171494158.51062503</v>
      </c>
      <c r="G31" s="32">
        <v>14291179.87588542</v>
      </c>
      <c r="H31" s="26">
        <f t="shared" si="0"/>
        <v>28</v>
      </c>
      <c r="I31" s="32">
        <v>12119976.344328701</v>
      </c>
      <c r="J31" s="26">
        <f t="shared" si="1"/>
        <v>24</v>
      </c>
      <c r="K31" s="34">
        <f t="shared" si="3"/>
        <v>0.17914255522228717</v>
      </c>
      <c r="L31" s="34">
        <f>IFERROR(VLOOKUP(Table2[[#This Row],[CUST-GROUP]],$E$70:$K$88,7,FALSE),0)</f>
        <v>0.24817061363564563</v>
      </c>
      <c r="M31" s="34">
        <f>IFERROR(VLOOKUP(E31,STM!G:K,4,FALSE),0)/G31-1</f>
        <v>1.0603826973681336</v>
      </c>
      <c r="N31" s="34">
        <f>IFERROR(VLOOKUP('SUMMARY MT 2026'!$B31,$E$70:$M$88,8,FALSE),0)</f>
        <v>0.92826368964947958</v>
      </c>
      <c r="O31" s="34">
        <f>IFERROR(VLOOKUP(E31,STM!G:K,5,FALSE),0)/G31-1</f>
        <v>-0.11840675249219601</v>
      </c>
      <c r="P31" s="34">
        <f>IFERROR(VLOOKUP('SUMMARY MT 2026'!$B31,$E$70:$M$88,9,FALSE),0)</f>
        <v>-0.38106556088810606</v>
      </c>
      <c r="Q31" s="34"/>
      <c r="R31" s="34"/>
      <c r="S31" s="34"/>
      <c r="T31" s="34"/>
      <c r="U31" s="34"/>
      <c r="V31" s="34"/>
      <c r="W31" s="34"/>
      <c r="X31" s="34"/>
      <c r="Y31" s="34"/>
      <c r="Z31" s="34"/>
      <c r="AA31" s="34"/>
      <c r="AB31" s="34"/>
      <c r="AC31" s="34"/>
      <c r="AD31" s="34"/>
      <c r="AE31" s="34"/>
      <c r="AF31" s="34"/>
      <c r="AG31" s="34"/>
      <c r="AH31" s="34"/>
      <c r="AI31" s="34"/>
      <c r="AJ31" s="34"/>
      <c r="AK31" s="30">
        <f>IFERROR(VLOOKUP(E31,[1]dashboard_SYAIFUL!$E$4:$AZ$76,47,FALSE),0)</f>
        <v>24</v>
      </c>
      <c r="AL31" s="30">
        <f>IFERROR(VLOOKUP(E31,[1]dashboard_SYAIFUL!$E$4:$AZ$76,48,FALSE),0)</f>
        <v>11</v>
      </c>
      <c r="AM31" s="30">
        <f>IFERROR(VLOOKUP(E31,[1]dashboard_SYAIFUL!$E$4:$BD$76,49,FALSE),0)</f>
        <v>17</v>
      </c>
      <c r="AN31" s="30">
        <f>IFERROR(VLOOKUP(E31,[1]dashboard_SYAIFUL!$E$4:$BD$76,50,FALSE),0)</f>
        <v>18</v>
      </c>
      <c r="AO31" s="30">
        <f>IFERROR(VLOOKUP('SUMMARY MT 2026'!$E31,[1]dashboard_SYAIFUL!$E$4:$CP$76,89,FALSE),0)</f>
        <v>20</v>
      </c>
      <c r="AP31" s="31">
        <f>IFERROR(VLOOKUP('SUMMARY MT 2026'!$E31,[1]dashboard_SYAIFUL!$E$4:$CP$76,90,FALSE),0)</f>
        <v>15</v>
      </c>
      <c r="AQ31" s="30"/>
      <c r="AR31" s="31">
        <f>35-Table2[[#This Row],[PARETO SKU MAR 2026]]</f>
        <v>35</v>
      </c>
      <c r="AS31" s="30"/>
      <c r="AT31" s="31">
        <f>35-Table2[[#This Row],[PARETO SKU MAR 2026]]</f>
        <v>35</v>
      </c>
      <c r="AU31" s="30"/>
      <c r="AV31" s="31">
        <f>35-Table2[[#This Row],[PARETO SKU MAR 2026]]</f>
        <v>35</v>
      </c>
      <c r="AW31" s="30"/>
      <c r="AX31" s="31">
        <f>35-Table2[[#This Row],[PARETO SKU MAR 2026]]</f>
        <v>35</v>
      </c>
      <c r="AY31" s="30"/>
      <c r="AZ31" s="31">
        <f>35-Table2[[#This Row],[PARETO SKU MAR 2026]]</f>
        <v>35</v>
      </c>
      <c r="BA31" s="30"/>
      <c r="BB31" s="31">
        <f>35-Table2[[#This Row],[PARETO SKU MAR 2026]]</f>
        <v>35</v>
      </c>
      <c r="BC31" s="30"/>
      <c r="BD31" s="31">
        <f>35-Table2[[#This Row],[PARETO SKU MAR 2026]]</f>
        <v>35</v>
      </c>
      <c r="BE31" s="30"/>
      <c r="BF31" s="31">
        <f>35-Table2[[#This Row],[PARETO SKU MAR 2026]]</f>
        <v>35</v>
      </c>
      <c r="BG31" s="30"/>
      <c r="BH31" s="31">
        <f>35-Table2[[#This Row],[PARETO SKU MAR 2026]]</f>
        <v>35</v>
      </c>
      <c r="BI31" s="30"/>
      <c r="BJ31" s="31">
        <f>35-Table2[[#This Row],[PARETO SKU MAR 2026]]</f>
        <v>35</v>
      </c>
      <c r="BL31" s="4"/>
    </row>
    <row r="32" spans="2:64" ht="27" customHeight="1" thickBot="1" x14ac:dyDescent="0.5">
      <c r="B32" s="45" t="s">
        <v>137</v>
      </c>
      <c r="C32" s="26">
        <f>RANK(IFERROR(VLOOKUP(Table2[[#This Row],[CUSTNO_DIST]],STM!B:C,2,FALSE),0),STM!$C$5:$C$65,0)</f>
        <v>41</v>
      </c>
      <c r="D32" s="46" t="s">
        <v>64</v>
      </c>
      <c r="E32" s="47" t="s">
        <v>65</v>
      </c>
      <c r="F32" s="32">
        <v>160363539.64541668</v>
      </c>
      <c r="G32" s="32">
        <v>13363628.303784722</v>
      </c>
      <c r="H32" s="26">
        <f t="shared" si="0"/>
        <v>29</v>
      </c>
      <c r="I32" s="32">
        <v>12071394.288194442</v>
      </c>
      <c r="J32" s="26">
        <f t="shared" si="1"/>
        <v>25</v>
      </c>
      <c r="K32" s="34">
        <f t="shared" si="3"/>
        <v>0.10704927572898981</v>
      </c>
      <c r="L32" s="34">
        <f>IFERROR(VLOOKUP(Table2[[#This Row],[CUST-GROUP]],$E$70:$K$88,7,FALSE),0)</f>
        <v>0.31105346786620669</v>
      </c>
      <c r="M32" s="34">
        <f>IFERROR(VLOOKUP(E32,STM!G:K,4,FALSE),0)/G32-1</f>
        <v>-0.49046864583014738</v>
      </c>
      <c r="N32" s="34">
        <f>IFERROR(VLOOKUP('SUMMARY MT 2026'!$B32,$E$70:$M$88,8,FALSE),0)</f>
        <v>-0.20246099853772914</v>
      </c>
      <c r="O32" s="34">
        <f>IFERROR(VLOOKUP(E32,STM!G:K,5,FALSE),0)/G32-1</f>
        <v>-0.76210131525623015</v>
      </c>
      <c r="P32" s="34">
        <f>IFERROR(VLOOKUP('SUMMARY MT 2026'!$B32,$E$70:$M$88,9,FALSE),0)</f>
        <v>-0.48667136440256498</v>
      </c>
      <c r="Q32" s="34"/>
      <c r="R32" s="34"/>
      <c r="S32" s="34"/>
      <c r="T32" s="34"/>
      <c r="U32" s="34"/>
      <c r="V32" s="34"/>
      <c r="W32" s="34"/>
      <c r="X32" s="34"/>
      <c r="Y32" s="34"/>
      <c r="Z32" s="34"/>
      <c r="AA32" s="34"/>
      <c r="AB32" s="34"/>
      <c r="AC32" s="34"/>
      <c r="AD32" s="34"/>
      <c r="AE32" s="34"/>
      <c r="AF32" s="34"/>
      <c r="AG32" s="34"/>
      <c r="AH32" s="34"/>
      <c r="AI32" s="34"/>
      <c r="AJ32" s="34"/>
      <c r="AK32" s="30">
        <f>IFERROR(VLOOKUP(E32,[1]dashboard_SYAIFUL!$E$4:$AZ$76,47,FALSE),0)</f>
        <v>30</v>
      </c>
      <c r="AL32" s="30">
        <f>IFERROR(VLOOKUP(E32,[1]dashboard_SYAIFUL!$E$4:$AZ$76,48,FALSE),0)</f>
        <v>5</v>
      </c>
      <c r="AM32" s="30">
        <f>IFERROR(VLOOKUP(E32,[1]dashboard_SYAIFUL!$E$4:$BD$76,49,FALSE),0)</f>
        <v>17</v>
      </c>
      <c r="AN32" s="30">
        <f>IFERROR(VLOOKUP(E32,[1]dashboard_SYAIFUL!$E$4:$BD$76,50,FALSE),0)</f>
        <v>18</v>
      </c>
      <c r="AO32" s="30">
        <f>IFERROR(VLOOKUP('SUMMARY MT 2026'!$E32,[1]dashboard_SYAIFUL!$E$4:$CP$76,89,FALSE),0)</f>
        <v>15</v>
      </c>
      <c r="AP32" s="31">
        <f>IFERROR(VLOOKUP('SUMMARY MT 2026'!$E32,[1]dashboard_SYAIFUL!$E$4:$CP$76,90,FALSE),0)</f>
        <v>20</v>
      </c>
      <c r="AQ32" s="30"/>
      <c r="AR32" s="31">
        <f>35-Table2[[#This Row],[PARETO SKU MAR 2026]]</f>
        <v>35</v>
      </c>
      <c r="AS32" s="30"/>
      <c r="AT32" s="31">
        <f>35-Table2[[#This Row],[PARETO SKU MAR 2026]]</f>
        <v>35</v>
      </c>
      <c r="AU32" s="30"/>
      <c r="AV32" s="31">
        <f>35-Table2[[#This Row],[PARETO SKU MAR 2026]]</f>
        <v>35</v>
      </c>
      <c r="AW32" s="30"/>
      <c r="AX32" s="31">
        <f>35-Table2[[#This Row],[PARETO SKU MAR 2026]]</f>
        <v>35</v>
      </c>
      <c r="AY32" s="30"/>
      <c r="AZ32" s="31">
        <f>35-Table2[[#This Row],[PARETO SKU MAR 2026]]</f>
        <v>35</v>
      </c>
      <c r="BA32" s="30"/>
      <c r="BB32" s="31">
        <f>35-Table2[[#This Row],[PARETO SKU MAR 2026]]</f>
        <v>35</v>
      </c>
      <c r="BC32" s="30"/>
      <c r="BD32" s="31">
        <f>35-Table2[[#This Row],[PARETO SKU MAR 2026]]</f>
        <v>35</v>
      </c>
      <c r="BE32" s="30"/>
      <c r="BF32" s="31">
        <f>35-Table2[[#This Row],[PARETO SKU MAR 2026]]</f>
        <v>35</v>
      </c>
      <c r="BG32" s="30"/>
      <c r="BH32" s="31">
        <f>35-Table2[[#This Row],[PARETO SKU MAR 2026]]</f>
        <v>35</v>
      </c>
      <c r="BI32" s="30"/>
      <c r="BJ32" s="31">
        <f>35-Table2[[#This Row],[PARETO SKU MAR 2026]]</f>
        <v>35</v>
      </c>
      <c r="BL32" s="4"/>
    </row>
    <row r="33" spans="2:64" ht="27" customHeight="1" thickBot="1" x14ac:dyDescent="0.5">
      <c r="B33" s="45" t="s">
        <v>141</v>
      </c>
      <c r="C33" s="26">
        <f>RANK(IFERROR(VLOOKUP(Table2[[#This Row],[CUSTNO_DIST]],STM!B:C,2,FALSE),0),STM!$C$5:$C$65,0)</f>
        <v>26</v>
      </c>
      <c r="D33" s="46" t="s">
        <v>66</v>
      </c>
      <c r="E33" s="47" t="s">
        <v>67</v>
      </c>
      <c r="F33" s="32">
        <v>155425183.08333334</v>
      </c>
      <c r="G33" s="32">
        <v>12952098.590277778</v>
      </c>
      <c r="H33" s="26">
        <f t="shared" si="0"/>
        <v>30</v>
      </c>
      <c r="I33" s="32">
        <v>10932676.662326388</v>
      </c>
      <c r="J33" s="26">
        <f t="shared" si="1"/>
        <v>27</v>
      </c>
      <c r="K33" s="34">
        <f t="shared" si="3"/>
        <v>0.18471431931305959</v>
      </c>
      <c r="L33" s="34">
        <f>IFERROR(VLOOKUP(Table2[[#This Row],[CUST-GROUP]],$E$70:$K$88,7,FALSE),0)</f>
        <v>0.35823921847321993</v>
      </c>
      <c r="M33" s="34">
        <f>IFERROR(VLOOKUP(E33,STM!G:K,4,FALSE),0)/G33-1</f>
        <v>-0.36965242992526492</v>
      </c>
      <c r="N33" s="34">
        <f>IFERROR(VLOOKUP('SUMMARY MT 2026'!$B33,$E$70:$M$88,8,FALSE),0)</f>
        <v>-0.45732064925112437</v>
      </c>
      <c r="O33" s="34">
        <f>IFERROR(VLOOKUP(E33,STM!G:K,5,FALSE),0)/G33-1</f>
        <v>0.10973749059392723</v>
      </c>
      <c r="P33" s="34">
        <f>IFERROR(VLOOKUP('SUMMARY MT 2026'!$B33,$E$70:$M$88,9,FALSE),0)</f>
        <v>-0.13244491115437163</v>
      </c>
      <c r="Q33" s="34"/>
      <c r="R33" s="34"/>
      <c r="S33" s="34"/>
      <c r="T33" s="34"/>
      <c r="U33" s="34"/>
      <c r="V33" s="34"/>
      <c r="W33" s="34"/>
      <c r="X33" s="34"/>
      <c r="Y33" s="34"/>
      <c r="Z33" s="34"/>
      <c r="AA33" s="34"/>
      <c r="AB33" s="34"/>
      <c r="AC33" s="34"/>
      <c r="AD33" s="34"/>
      <c r="AE33" s="34"/>
      <c r="AF33" s="34"/>
      <c r="AG33" s="34"/>
      <c r="AH33" s="34"/>
      <c r="AI33" s="34"/>
      <c r="AJ33" s="34"/>
      <c r="AK33" s="30">
        <f>IFERROR(VLOOKUP(E33,[1]dashboard_SYAIFUL!$E$4:$AZ$76,47,FALSE),0)</f>
        <v>19</v>
      </c>
      <c r="AL33" s="30">
        <f>IFERROR(VLOOKUP(E33,[1]dashboard_SYAIFUL!$E$4:$AZ$76,48,FALSE),0)</f>
        <v>16</v>
      </c>
      <c r="AM33" s="30">
        <f>IFERROR(VLOOKUP(E33,[1]dashboard_SYAIFUL!$E$4:$BD$76,49,FALSE),0)</f>
        <v>12</v>
      </c>
      <c r="AN33" s="30">
        <f>IFERROR(VLOOKUP(E33,[1]dashboard_SYAIFUL!$E$4:$BD$76,50,FALSE),0)</f>
        <v>23</v>
      </c>
      <c r="AO33" s="30">
        <f>IFERROR(VLOOKUP('SUMMARY MT 2026'!$E33,[1]dashboard_SYAIFUL!$E$4:$CP$76,89,FALSE),0)</f>
        <v>8</v>
      </c>
      <c r="AP33" s="31">
        <f>IFERROR(VLOOKUP('SUMMARY MT 2026'!$E33,[1]dashboard_SYAIFUL!$E$4:$CP$76,90,FALSE),0)</f>
        <v>27</v>
      </c>
      <c r="AQ33" s="30"/>
      <c r="AR33" s="31">
        <f>35-Table2[[#This Row],[PARETO SKU MAR 2026]]</f>
        <v>35</v>
      </c>
      <c r="AS33" s="30"/>
      <c r="AT33" s="31">
        <f>35-Table2[[#This Row],[PARETO SKU MAR 2026]]</f>
        <v>35</v>
      </c>
      <c r="AU33" s="30"/>
      <c r="AV33" s="31">
        <f>35-Table2[[#This Row],[PARETO SKU MAR 2026]]</f>
        <v>35</v>
      </c>
      <c r="AW33" s="30"/>
      <c r="AX33" s="31">
        <f>35-Table2[[#This Row],[PARETO SKU MAR 2026]]</f>
        <v>35</v>
      </c>
      <c r="AY33" s="30"/>
      <c r="AZ33" s="31">
        <f>35-Table2[[#This Row],[PARETO SKU MAR 2026]]</f>
        <v>35</v>
      </c>
      <c r="BA33" s="30"/>
      <c r="BB33" s="31">
        <f>35-Table2[[#This Row],[PARETO SKU MAR 2026]]</f>
        <v>35</v>
      </c>
      <c r="BC33" s="30"/>
      <c r="BD33" s="31">
        <f>35-Table2[[#This Row],[PARETO SKU MAR 2026]]</f>
        <v>35</v>
      </c>
      <c r="BE33" s="30"/>
      <c r="BF33" s="31">
        <f>35-Table2[[#This Row],[PARETO SKU MAR 2026]]</f>
        <v>35</v>
      </c>
      <c r="BG33" s="30"/>
      <c r="BH33" s="31">
        <f>35-Table2[[#This Row],[PARETO SKU MAR 2026]]</f>
        <v>35</v>
      </c>
      <c r="BI33" s="30"/>
      <c r="BJ33" s="31">
        <f>35-Table2[[#This Row],[PARETO SKU MAR 2026]]</f>
        <v>35</v>
      </c>
      <c r="BL33" s="4"/>
    </row>
    <row r="34" spans="2:64" ht="27" customHeight="1" thickBot="1" x14ac:dyDescent="0.5">
      <c r="B34" s="45" t="s">
        <v>143</v>
      </c>
      <c r="C34" s="26">
        <f>RANK(IFERROR(VLOOKUP(Table2[[#This Row],[CUSTNO_DIST]],STM!B:C,2,FALSE),0),STM!$C$5:$C$65,0)</f>
        <v>27</v>
      </c>
      <c r="D34" s="46" t="s">
        <v>72</v>
      </c>
      <c r="E34" s="47" t="s">
        <v>73</v>
      </c>
      <c r="F34" s="32">
        <v>132492935.37281249</v>
      </c>
      <c r="G34" s="32">
        <v>11041077.947734375</v>
      </c>
      <c r="H34" s="26">
        <f t="shared" si="0"/>
        <v>31</v>
      </c>
      <c r="I34" s="32">
        <v>8175532.576388889</v>
      </c>
      <c r="J34" s="26">
        <f t="shared" si="1"/>
        <v>37</v>
      </c>
      <c r="K34" s="34">
        <f t="shared" si="3"/>
        <v>0.35050259350947255</v>
      </c>
      <c r="L34" s="34">
        <f>IFERROR(VLOOKUP(Table2[[#This Row],[CUST-GROUP]],$E$70:$K$88,7,FALSE),0)</f>
        <v>0.24817061363564563</v>
      </c>
      <c r="M34" s="34">
        <f>IFERROR(VLOOKUP(E34,STM!G:K,4,FALSE),0)/G34-1</f>
        <v>0.75725352983820637</v>
      </c>
      <c r="N34" s="34">
        <f>IFERROR(VLOOKUP('SUMMARY MT 2026'!$B34,$E$70:$M$88,8,FALSE),0)</f>
        <v>0.92826368964947958</v>
      </c>
      <c r="O34" s="34">
        <f>IFERROR(VLOOKUP(E34,STM!G:K,5,FALSE),0)/G34-1</f>
        <v>-0.7210418109010801</v>
      </c>
      <c r="P34" s="34">
        <f>IFERROR(VLOOKUP('SUMMARY MT 2026'!$B34,$E$70:$M$88,9,FALSE),0)</f>
        <v>-0.38106556088810606</v>
      </c>
      <c r="Q34" s="34"/>
      <c r="R34" s="34"/>
      <c r="S34" s="34"/>
      <c r="T34" s="34"/>
      <c r="U34" s="34"/>
      <c r="V34" s="34"/>
      <c r="W34" s="34"/>
      <c r="X34" s="34"/>
      <c r="Y34" s="34"/>
      <c r="Z34" s="34"/>
      <c r="AA34" s="34"/>
      <c r="AB34" s="34"/>
      <c r="AC34" s="34"/>
      <c r="AD34" s="34"/>
      <c r="AE34" s="34"/>
      <c r="AF34" s="34"/>
      <c r="AG34" s="34"/>
      <c r="AH34" s="34"/>
      <c r="AI34" s="34"/>
      <c r="AJ34" s="34"/>
      <c r="AK34" s="30">
        <f>IFERROR(VLOOKUP(E34,[1]dashboard_SYAIFUL!$E$4:$AZ$76,47,FALSE),0)</f>
        <v>24</v>
      </c>
      <c r="AL34" s="30">
        <f>IFERROR(VLOOKUP(E34,[1]dashboard_SYAIFUL!$E$4:$AZ$76,48,FALSE),0)</f>
        <v>11</v>
      </c>
      <c r="AM34" s="30">
        <f>IFERROR(VLOOKUP(E34,[1]dashboard_SYAIFUL!$E$4:$BD$76,49,FALSE),0)</f>
        <v>17</v>
      </c>
      <c r="AN34" s="30">
        <f>IFERROR(VLOOKUP(E34,[1]dashboard_SYAIFUL!$E$4:$BD$76,50,FALSE),0)</f>
        <v>18</v>
      </c>
      <c r="AO34" s="30">
        <f>IFERROR(VLOOKUP('SUMMARY MT 2026'!$E34,[1]dashboard_SYAIFUL!$E$4:$CP$76,89,FALSE),0)</f>
        <v>5</v>
      </c>
      <c r="AP34" s="31">
        <f>IFERROR(VLOOKUP('SUMMARY MT 2026'!$E34,[1]dashboard_SYAIFUL!$E$4:$CP$76,90,FALSE),0)</f>
        <v>30</v>
      </c>
      <c r="AQ34" s="30"/>
      <c r="AR34" s="31">
        <f>35-Table2[[#This Row],[PARETO SKU MAR 2026]]</f>
        <v>35</v>
      </c>
      <c r="AS34" s="30"/>
      <c r="AT34" s="31">
        <f>35-Table2[[#This Row],[PARETO SKU MAR 2026]]</f>
        <v>35</v>
      </c>
      <c r="AU34" s="30"/>
      <c r="AV34" s="31">
        <f>35-Table2[[#This Row],[PARETO SKU MAR 2026]]</f>
        <v>35</v>
      </c>
      <c r="AW34" s="30"/>
      <c r="AX34" s="31">
        <f>35-Table2[[#This Row],[PARETO SKU MAR 2026]]</f>
        <v>35</v>
      </c>
      <c r="AY34" s="30"/>
      <c r="AZ34" s="31">
        <f>35-Table2[[#This Row],[PARETO SKU MAR 2026]]</f>
        <v>35</v>
      </c>
      <c r="BA34" s="30"/>
      <c r="BB34" s="31">
        <f>35-Table2[[#This Row],[PARETO SKU MAR 2026]]</f>
        <v>35</v>
      </c>
      <c r="BC34" s="30"/>
      <c r="BD34" s="31">
        <f>35-Table2[[#This Row],[PARETO SKU MAR 2026]]</f>
        <v>35</v>
      </c>
      <c r="BE34" s="30"/>
      <c r="BF34" s="31">
        <f>35-Table2[[#This Row],[PARETO SKU MAR 2026]]</f>
        <v>35</v>
      </c>
      <c r="BG34" s="30"/>
      <c r="BH34" s="31">
        <f>35-Table2[[#This Row],[PARETO SKU MAR 2026]]</f>
        <v>35</v>
      </c>
      <c r="BI34" s="30"/>
      <c r="BJ34" s="31">
        <f>35-Table2[[#This Row],[PARETO SKU MAR 2026]]</f>
        <v>35</v>
      </c>
      <c r="BL34" s="4"/>
    </row>
    <row r="35" spans="2:64" ht="27" customHeight="1" thickBot="1" x14ac:dyDescent="0.5">
      <c r="B35" s="45" t="s">
        <v>133</v>
      </c>
      <c r="C35" s="26">
        <f>RANK(IFERROR(VLOOKUP(Table2[[#This Row],[CUSTNO_DIST]],STM!B:C,2,FALSE),0),STM!$C$5:$C$65,0)</f>
        <v>45</v>
      </c>
      <c r="D35" s="46" t="s">
        <v>68</v>
      </c>
      <c r="E35" s="47" t="s">
        <v>69</v>
      </c>
      <c r="F35" s="32">
        <v>132260793.70374998</v>
      </c>
      <c r="G35" s="32">
        <v>11021732.808645831</v>
      </c>
      <c r="H35" s="26">
        <f t="shared" si="0"/>
        <v>32</v>
      </c>
      <c r="I35" s="32">
        <v>10010027.894097222</v>
      </c>
      <c r="J35" s="26">
        <f t="shared" si="1"/>
        <v>31</v>
      </c>
      <c r="K35" s="34">
        <f t="shared" si="3"/>
        <v>0.10106914039122694</v>
      </c>
      <c r="L35" s="34">
        <f>IFERROR(VLOOKUP(Table2[[#This Row],[CUST-GROUP]],$E$70:$K$88,7,FALSE),0)</f>
        <v>0.20819267436989897</v>
      </c>
      <c r="M35" s="34">
        <f>IFERROR(VLOOKUP(E35,STM!G:K,4,FALSE),0)/G35-1</f>
        <v>-0.5009856130507353</v>
      </c>
      <c r="N35" s="34">
        <f>IFERROR(VLOOKUP('SUMMARY MT 2026'!$B35,$E$70:$M$88,8,FALSE),0)</f>
        <v>0.23890658941664045</v>
      </c>
      <c r="O35" s="34">
        <f>IFERROR(VLOOKUP(E35,STM!G:K,5,FALSE),0)/G35-1</f>
        <v>-0.70462946744442245</v>
      </c>
      <c r="P35" s="34">
        <f>IFERROR(VLOOKUP('SUMMARY MT 2026'!$B35,$E$70:$M$88,9,FALSE),0)</f>
        <v>-0.33936199861588745</v>
      </c>
      <c r="Q35" s="34"/>
      <c r="R35" s="34"/>
      <c r="S35" s="34"/>
      <c r="T35" s="34"/>
      <c r="U35" s="34"/>
      <c r="V35" s="34"/>
      <c r="W35" s="34"/>
      <c r="X35" s="34"/>
      <c r="Y35" s="34"/>
      <c r="Z35" s="34"/>
      <c r="AA35" s="34"/>
      <c r="AB35" s="34"/>
      <c r="AC35" s="34"/>
      <c r="AD35" s="34"/>
      <c r="AE35" s="34"/>
      <c r="AF35" s="34"/>
      <c r="AG35" s="34"/>
      <c r="AH35" s="34"/>
      <c r="AI35" s="34"/>
      <c r="AJ35" s="34"/>
      <c r="AK35" s="30">
        <f>IFERROR(VLOOKUP(E35,[1]dashboard_SYAIFUL!$E$4:$AZ$76,47,FALSE),0)</f>
        <v>16</v>
      </c>
      <c r="AL35" s="30">
        <f>IFERROR(VLOOKUP(E35,[1]dashboard_SYAIFUL!$E$4:$AZ$76,48,FALSE),0)</f>
        <v>19</v>
      </c>
      <c r="AM35" s="30">
        <f>IFERROR(VLOOKUP(E35,[1]dashboard_SYAIFUL!$E$4:$BD$76,49,FALSE),0)</f>
        <v>10</v>
      </c>
      <c r="AN35" s="30">
        <f>IFERROR(VLOOKUP(E35,[1]dashboard_SYAIFUL!$E$4:$BD$76,50,FALSE),0)</f>
        <v>25</v>
      </c>
      <c r="AO35" s="30">
        <f>IFERROR(VLOOKUP('SUMMARY MT 2026'!$E35,[1]dashboard_SYAIFUL!$E$4:$CP$76,89,FALSE),0)</f>
        <v>10</v>
      </c>
      <c r="AP35" s="31">
        <f>IFERROR(VLOOKUP('SUMMARY MT 2026'!$E35,[1]dashboard_SYAIFUL!$E$4:$CP$76,90,FALSE),0)</f>
        <v>25</v>
      </c>
      <c r="AQ35" s="30"/>
      <c r="AR35" s="31">
        <f>35-Table2[[#This Row],[PARETO SKU MAR 2026]]</f>
        <v>35</v>
      </c>
      <c r="AS35" s="30"/>
      <c r="AT35" s="31">
        <f>35-Table2[[#This Row],[PARETO SKU MAR 2026]]</f>
        <v>35</v>
      </c>
      <c r="AU35" s="30"/>
      <c r="AV35" s="31">
        <f>35-Table2[[#This Row],[PARETO SKU MAR 2026]]</f>
        <v>35</v>
      </c>
      <c r="AW35" s="30"/>
      <c r="AX35" s="31">
        <f>35-Table2[[#This Row],[PARETO SKU MAR 2026]]</f>
        <v>35</v>
      </c>
      <c r="AY35" s="30"/>
      <c r="AZ35" s="31">
        <f>35-Table2[[#This Row],[PARETO SKU MAR 2026]]</f>
        <v>35</v>
      </c>
      <c r="BA35" s="30"/>
      <c r="BB35" s="31">
        <f>35-Table2[[#This Row],[PARETO SKU MAR 2026]]</f>
        <v>35</v>
      </c>
      <c r="BC35" s="30"/>
      <c r="BD35" s="31">
        <f>35-Table2[[#This Row],[PARETO SKU MAR 2026]]</f>
        <v>35</v>
      </c>
      <c r="BE35" s="30"/>
      <c r="BF35" s="31">
        <f>35-Table2[[#This Row],[PARETO SKU MAR 2026]]</f>
        <v>35</v>
      </c>
      <c r="BG35" s="30"/>
      <c r="BH35" s="31">
        <f>35-Table2[[#This Row],[PARETO SKU MAR 2026]]</f>
        <v>35</v>
      </c>
      <c r="BI35" s="30"/>
      <c r="BJ35" s="31">
        <f>35-Table2[[#This Row],[PARETO SKU MAR 2026]]</f>
        <v>35</v>
      </c>
      <c r="BL35" s="4"/>
    </row>
    <row r="36" spans="2:64" ht="27" customHeight="1" thickBot="1" x14ac:dyDescent="0.5">
      <c r="B36" s="45" t="s">
        <v>148</v>
      </c>
      <c r="C36" s="26">
        <f>RANK(IFERROR(VLOOKUP(Table2[[#This Row],[CUSTNO_DIST]],STM!B:C,2,FALSE),0),STM!$C$5:$C$65,0)</f>
        <v>33</v>
      </c>
      <c r="D36" s="46" t="s">
        <v>70</v>
      </c>
      <c r="E36" s="47" t="s">
        <v>71</v>
      </c>
      <c r="F36" s="32">
        <v>129385214.20604168</v>
      </c>
      <c r="G36" s="32">
        <v>10782101.183836807</v>
      </c>
      <c r="H36" s="26">
        <f t="shared" ref="H36:H64" si="4">RANK(G36,$G$4:$G$64,0)</f>
        <v>33</v>
      </c>
      <c r="I36" s="32">
        <v>8828888.1571180541</v>
      </c>
      <c r="J36" s="26">
        <f t="shared" ref="J36:J67" si="5">RANK(I36,$I$4:$I$64,0)</f>
        <v>33</v>
      </c>
      <c r="K36" s="34">
        <f t="shared" si="3"/>
        <v>0.22122978476559663</v>
      </c>
      <c r="L36" s="34">
        <f>IFERROR(VLOOKUP(Table2[[#This Row],[CUST-GROUP]],$E$70:$K$88,7,FALSE),0)</f>
        <v>0.22122978476559663</v>
      </c>
      <c r="M36" s="34">
        <f>IFERROR(VLOOKUP(E36,STM!G:K,4,FALSE),0)/G36-1</f>
        <v>-9.0977427276170308E-2</v>
      </c>
      <c r="N36" s="34">
        <f>IFERROR(VLOOKUP('SUMMARY MT 2026'!$B36,$E$70:$M$88,8,FALSE),0)</f>
        <v>-9.0977427276170308E-2</v>
      </c>
      <c r="O36" s="34">
        <f>IFERROR(VLOOKUP(E36,STM!G:K,5,FALSE),0)/G36-1</f>
        <v>-0.47043533292847817</v>
      </c>
      <c r="P36" s="34">
        <f>IFERROR(VLOOKUP('SUMMARY MT 2026'!$B36,$E$70:$M$88,9,FALSE),0)</f>
        <v>-0.47043533292847817</v>
      </c>
      <c r="Q36" s="34"/>
      <c r="R36" s="34"/>
      <c r="S36" s="34"/>
      <c r="T36" s="34"/>
      <c r="U36" s="34"/>
      <c r="V36" s="34"/>
      <c r="W36" s="34"/>
      <c r="X36" s="34"/>
      <c r="Y36" s="34"/>
      <c r="Z36" s="34"/>
      <c r="AA36" s="34"/>
      <c r="AB36" s="34"/>
      <c r="AC36" s="34"/>
      <c r="AD36" s="34"/>
      <c r="AE36" s="34"/>
      <c r="AF36" s="34"/>
      <c r="AG36" s="34"/>
      <c r="AH36" s="34"/>
      <c r="AI36" s="34"/>
      <c r="AJ36" s="34"/>
      <c r="AK36" s="30">
        <f>IFERROR(VLOOKUP(E36,[1]dashboard_SYAIFUL!$E$4:$AZ$76,47,FALSE),0)</f>
        <v>21</v>
      </c>
      <c r="AL36" s="30">
        <f>IFERROR(VLOOKUP(E36,[1]dashboard_SYAIFUL!$E$4:$AZ$76,48,FALSE),0)</f>
        <v>14</v>
      </c>
      <c r="AM36" s="30">
        <f>IFERROR(VLOOKUP(E36,[1]dashboard_SYAIFUL!$E$4:$BD$76,49,FALSE),0)</f>
        <v>17</v>
      </c>
      <c r="AN36" s="30">
        <f>IFERROR(VLOOKUP(E36,[1]dashboard_SYAIFUL!$E$4:$BD$76,50,FALSE),0)</f>
        <v>18</v>
      </c>
      <c r="AO36" s="30">
        <f>IFERROR(VLOOKUP('SUMMARY MT 2026'!$E36,[1]dashboard_SYAIFUL!$E$4:$CP$76,89,FALSE),0)</f>
        <v>13</v>
      </c>
      <c r="AP36" s="31">
        <f>IFERROR(VLOOKUP('SUMMARY MT 2026'!$E36,[1]dashboard_SYAIFUL!$E$4:$CP$76,90,FALSE),0)</f>
        <v>22</v>
      </c>
      <c r="AQ36" s="30"/>
      <c r="AR36" s="31">
        <f>35-Table2[[#This Row],[PARETO SKU MAR 2026]]</f>
        <v>35</v>
      </c>
      <c r="AS36" s="30"/>
      <c r="AT36" s="31">
        <f>35-Table2[[#This Row],[PARETO SKU MAR 2026]]</f>
        <v>35</v>
      </c>
      <c r="AU36" s="30"/>
      <c r="AV36" s="31">
        <f>35-Table2[[#This Row],[PARETO SKU MAR 2026]]</f>
        <v>35</v>
      </c>
      <c r="AW36" s="30"/>
      <c r="AX36" s="31">
        <f>35-Table2[[#This Row],[PARETO SKU MAR 2026]]</f>
        <v>35</v>
      </c>
      <c r="AY36" s="30"/>
      <c r="AZ36" s="31">
        <f>35-Table2[[#This Row],[PARETO SKU MAR 2026]]</f>
        <v>35</v>
      </c>
      <c r="BA36" s="30"/>
      <c r="BB36" s="31">
        <f>35-Table2[[#This Row],[PARETO SKU MAR 2026]]</f>
        <v>35</v>
      </c>
      <c r="BC36" s="30"/>
      <c r="BD36" s="31">
        <f>35-Table2[[#This Row],[PARETO SKU MAR 2026]]</f>
        <v>35</v>
      </c>
      <c r="BE36" s="30"/>
      <c r="BF36" s="31">
        <f>35-Table2[[#This Row],[PARETO SKU MAR 2026]]</f>
        <v>35</v>
      </c>
      <c r="BG36" s="30"/>
      <c r="BH36" s="31">
        <f>35-Table2[[#This Row],[PARETO SKU MAR 2026]]</f>
        <v>35</v>
      </c>
      <c r="BI36" s="30"/>
      <c r="BJ36" s="31">
        <f>35-Table2[[#This Row],[PARETO SKU MAR 2026]]</f>
        <v>35</v>
      </c>
      <c r="BL36" s="4"/>
    </row>
    <row r="37" spans="2:64" ht="27" customHeight="1" thickBot="1" x14ac:dyDescent="0.5">
      <c r="B37" s="45" t="s">
        <v>141</v>
      </c>
      <c r="C37" s="26">
        <f>RANK(IFERROR(VLOOKUP(Table2[[#This Row],[CUSTNO_DIST]],STM!B:C,2,FALSE),0),STM!$C$5:$C$65,0)</f>
        <v>36</v>
      </c>
      <c r="D37" s="46" t="s">
        <v>78</v>
      </c>
      <c r="E37" s="47" t="s">
        <v>79</v>
      </c>
      <c r="F37" s="32">
        <v>108127559.00239584</v>
      </c>
      <c r="G37" s="32">
        <v>9010629.9168663193</v>
      </c>
      <c r="H37" s="26">
        <f t="shared" si="4"/>
        <v>34</v>
      </c>
      <c r="I37" s="32">
        <v>6637685.4363425942</v>
      </c>
      <c r="J37" s="26">
        <f t="shared" si="5"/>
        <v>42</v>
      </c>
      <c r="K37" s="34">
        <f t="shared" si="3"/>
        <v>0.35749577217555406</v>
      </c>
      <c r="L37" s="34">
        <f>IFERROR(VLOOKUP(Table2[[#This Row],[CUST-GROUP]],$E$70:$K$88,7,FALSE),0)</f>
        <v>0.35823921847321993</v>
      </c>
      <c r="M37" s="34">
        <f>IFERROR(VLOOKUP(E37,STM!G:K,4,FALSE),0)/G37-1</f>
        <v>-0.18405661843762577</v>
      </c>
      <c r="N37" s="34">
        <f>IFERROR(VLOOKUP('SUMMARY MT 2026'!$B37,$E$70:$M$88,8,FALSE),0)</f>
        <v>-0.45732064925112437</v>
      </c>
      <c r="O37" s="34">
        <f>IFERROR(VLOOKUP(E37,STM!G:K,5,FALSE),0)/G37-1</f>
        <v>-0.43809089633981502</v>
      </c>
      <c r="P37" s="34">
        <f>IFERROR(VLOOKUP('SUMMARY MT 2026'!$B37,$E$70:$M$88,9,FALSE),0)</f>
        <v>-0.13244491115437163</v>
      </c>
      <c r="Q37" s="34"/>
      <c r="R37" s="34"/>
      <c r="S37" s="34"/>
      <c r="T37" s="34"/>
      <c r="U37" s="34"/>
      <c r="V37" s="34"/>
      <c r="W37" s="34"/>
      <c r="X37" s="34"/>
      <c r="Y37" s="34"/>
      <c r="Z37" s="34"/>
      <c r="AA37" s="34"/>
      <c r="AB37" s="34"/>
      <c r="AC37" s="34"/>
      <c r="AD37" s="34"/>
      <c r="AE37" s="34"/>
      <c r="AF37" s="34"/>
      <c r="AG37" s="34"/>
      <c r="AH37" s="34"/>
      <c r="AI37" s="34"/>
      <c r="AJ37" s="34"/>
      <c r="AK37" s="30">
        <f>IFERROR(VLOOKUP(E37,[1]dashboard_SYAIFUL!$E$4:$AZ$76,47,FALSE),0)</f>
        <v>14</v>
      </c>
      <c r="AL37" s="30">
        <f>IFERROR(VLOOKUP(E37,[1]dashboard_SYAIFUL!$E$4:$AZ$76,48,FALSE),0)</f>
        <v>21</v>
      </c>
      <c r="AM37" s="30">
        <f>IFERROR(VLOOKUP(E37,[1]dashboard_SYAIFUL!$E$4:$BD$76,49,FALSE),0)</f>
        <v>11</v>
      </c>
      <c r="AN37" s="30">
        <f>IFERROR(VLOOKUP(E37,[1]dashboard_SYAIFUL!$E$4:$BD$76,50,FALSE),0)</f>
        <v>24</v>
      </c>
      <c r="AO37" s="30">
        <f>IFERROR(VLOOKUP('SUMMARY MT 2026'!$E37,[1]dashboard_SYAIFUL!$E$4:$CP$76,89,FALSE),0)</f>
        <v>9</v>
      </c>
      <c r="AP37" s="31">
        <f>IFERROR(VLOOKUP('SUMMARY MT 2026'!$E37,[1]dashboard_SYAIFUL!$E$4:$CP$76,90,FALSE),0)</f>
        <v>26</v>
      </c>
      <c r="AQ37" s="30"/>
      <c r="AR37" s="31">
        <f>35-Table2[[#This Row],[PARETO SKU MAR 2026]]</f>
        <v>35</v>
      </c>
      <c r="AS37" s="30"/>
      <c r="AT37" s="31">
        <f>35-Table2[[#This Row],[PARETO SKU MAR 2026]]</f>
        <v>35</v>
      </c>
      <c r="AU37" s="30"/>
      <c r="AV37" s="31">
        <f>35-Table2[[#This Row],[PARETO SKU MAR 2026]]</f>
        <v>35</v>
      </c>
      <c r="AW37" s="30"/>
      <c r="AX37" s="31">
        <f>35-Table2[[#This Row],[PARETO SKU MAR 2026]]</f>
        <v>35</v>
      </c>
      <c r="AY37" s="30"/>
      <c r="AZ37" s="31">
        <f>35-Table2[[#This Row],[PARETO SKU MAR 2026]]</f>
        <v>35</v>
      </c>
      <c r="BA37" s="30"/>
      <c r="BB37" s="31">
        <f>35-Table2[[#This Row],[PARETO SKU MAR 2026]]</f>
        <v>35</v>
      </c>
      <c r="BC37" s="30"/>
      <c r="BD37" s="31">
        <f>35-Table2[[#This Row],[PARETO SKU MAR 2026]]</f>
        <v>35</v>
      </c>
      <c r="BE37" s="30"/>
      <c r="BF37" s="31">
        <f>35-Table2[[#This Row],[PARETO SKU MAR 2026]]</f>
        <v>35</v>
      </c>
      <c r="BG37" s="30"/>
      <c r="BH37" s="31">
        <f>35-Table2[[#This Row],[PARETO SKU MAR 2026]]</f>
        <v>35</v>
      </c>
      <c r="BI37" s="30"/>
      <c r="BJ37" s="31">
        <f>35-Table2[[#This Row],[PARETO SKU MAR 2026]]</f>
        <v>35</v>
      </c>
      <c r="BL37" s="4"/>
    </row>
    <row r="38" spans="2:64" ht="27" customHeight="1" thickBot="1" x14ac:dyDescent="0.5">
      <c r="B38" s="45" t="s">
        <v>133</v>
      </c>
      <c r="C38" s="26">
        <f>RANK(IFERROR(VLOOKUP(Table2[[#This Row],[CUSTNO_DIST]],STM!B:C,2,FALSE),0),STM!$C$5:$C$65,0)</f>
        <v>35</v>
      </c>
      <c r="D38" s="46" t="s">
        <v>76</v>
      </c>
      <c r="E38" s="47" t="s">
        <v>77</v>
      </c>
      <c r="F38" s="32">
        <v>107233771.01625</v>
      </c>
      <c r="G38" s="32">
        <v>8936147.5846874993</v>
      </c>
      <c r="H38" s="26">
        <f t="shared" si="4"/>
        <v>35</v>
      </c>
      <c r="I38" s="32">
        <v>8452432.354166666</v>
      </c>
      <c r="J38" s="26">
        <f t="shared" si="5"/>
        <v>36</v>
      </c>
      <c r="K38" s="34">
        <f t="shared" si="3"/>
        <v>5.7227932771610313E-2</v>
      </c>
      <c r="L38" s="34">
        <f>IFERROR(VLOOKUP(Table2[[#This Row],[CUST-GROUP]],$E$70:$K$88,7,FALSE),0)</f>
        <v>0.20819267436989897</v>
      </c>
      <c r="M38" s="34">
        <f>IFERROR(VLOOKUP(E38,STM!G:K,4,FALSE),0)/G38-1</f>
        <v>0.15650293867038267</v>
      </c>
      <c r="N38" s="34">
        <f>IFERROR(VLOOKUP('SUMMARY MT 2026'!$B38,$E$70:$M$88,8,FALSE),0)</f>
        <v>0.23890658941664045</v>
      </c>
      <c r="O38" s="34">
        <f>IFERROR(VLOOKUP(E38,STM!G:K,5,FALSE),0)/G38-1</f>
        <v>-0.4749537341975224</v>
      </c>
      <c r="P38" s="34">
        <f>IFERROR(VLOOKUP('SUMMARY MT 2026'!$B38,$E$70:$M$88,9,FALSE),0)</f>
        <v>-0.33936199861588745</v>
      </c>
      <c r="Q38" s="34"/>
      <c r="R38" s="34"/>
      <c r="S38" s="34"/>
      <c r="T38" s="34"/>
      <c r="U38" s="34"/>
      <c r="V38" s="34"/>
      <c r="W38" s="34"/>
      <c r="X38" s="34"/>
      <c r="Y38" s="34"/>
      <c r="Z38" s="34"/>
      <c r="AA38" s="34"/>
      <c r="AB38" s="34"/>
      <c r="AC38" s="34"/>
      <c r="AD38" s="34"/>
      <c r="AE38" s="34"/>
      <c r="AF38" s="34"/>
      <c r="AG38" s="34"/>
      <c r="AH38" s="34"/>
      <c r="AI38" s="34"/>
      <c r="AJ38" s="34"/>
      <c r="AK38" s="30">
        <f>IFERROR(VLOOKUP(E38,[1]dashboard_SYAIFUL!$E$4:$AZ$76,47,FALSE),0)</f>
        <v>11</v>
      </c>
      <c r="AL38" s="30">
        <f>IFERROR(VLOOKUP(E38,[1]dashboard_SYAIFUL!$E$4:$AZ$76,48,FALSE),0)</f>
        <v>24</v>
      </c>
      <c r="AM38" s="30">
        <f>IFERROR(VLOOKUP(E38,[1]dashboard_SYAIFUL!$E$4:$BD$76,49,FALSE),0)</f>
        <v>7</v>
      </c>
      <c r="AN38" s="30">
        <f>IFERROR(VLOOKUP(E38,[1]dashboard_SYAIFUL!$E$4:$BD$76,50,FALSE),0)</f>
        <v>28</v>
      </c>
      <c r="AO38" s="30">
        <f>IFERROR(VLOOKUP('SUMMARY MT 2026'!$E38,[1]dashboard_SYAIFUL!$E$4:$CP$76,89,FALSE),0)</f>
        <v>5</v>
      </c>
      <c r="AP38" s="31">
        <f>IFERROR(VLOOKUP('SUMMARY MT 2026'!$E38,[1]dashboard_SYAIFUL!$E$4:$CP$76,90,FALSE),0)</f>
        <v>30</v>
      </c>
      <c r="AQ38" s="30"/>
      <c r="AR38" s="31">
        <f>35-Table2[[#This Row],[PARETO SKU MAR 2026]]</f>
        <v>35</v>
      </c>
      <c r="AS38" s="30"/>
      <c r="AT38" s="31">
        <f>35-Table2[[#This Row],[PARETO SKU MAR 2026]]</f>
        <v>35</v>
      </c>
      <c r="AU38" s="30"/>
      <c r="AV38" s="31">
        <f>35-Table2[[#This Row],[PARETO SKU MAR 2026]]</f>
        <v>35</v>
      </c>
      <c r="AW38" s="30"/>
      <c r="AX38" s="31">
        <f>35-Table2[[#This Row],[PARETO SKU MAR 2026]]</f>
        <v>35</v>
      </c>
      <c r="AY38" s="30"/>
      <c r="AZ38" s="31">
        <f>35-Table2[[#This Row],[PARETO SKU MAR 2026]]</f>
        <v>35</v>
      </c>
      <c r="BA38" s="30"/>
      <c r="BB38" s="31">
        <f>35-Table2[[#This Row],[PARETO SKU MAR 2026]]</f>
        <v>35</v>
      </c>
      <c r="BC38" s="30"/>
      <c r="BD38" s="31">
        <f>35-Table2[[#This Row],[PARETO SKU MAR 2026]]</f>
        <v>35</v>
      </c>
      <c r="BE38" s="30"/>
      <c r="BF38" s="31">
        <f>35-Table2[[#This Row],[PARETO SKU MAR 2026]]</f>
        <v>35</v>
      </c>
      <c r="BG38" s="30"/>
      <c r="BH38" s="31">
        <f>35-Table2[[#This Row],[PARETO SKU MAR 2026]]</f>
        <v>35</v>
      </c>
      <c r="BI38" s="30"/>
      <c r="BJ38" s="31">
        <f>35-Table2[[#This Row],[PARETO SKU MAR 2026]]</f>
        <v>35</v>
      </c>
      <c r="BL38" s="4"/>
    </row>
    <row r="39" spans="2:64" ht="27" customHeight="1" thickBot="1" x14ac:dyDescent="0.5">
      <c r="B39" s="45" t="s">
        <v>133</v>
      </c>
      <c r="C39" s="26">
        <f>RANK(IFERROR(VLOOKUP(Table2[[#This Row],[CUSTNO_DIST]],STM!B:C,2,FALSE),0),STM!$C$5:$C$65,0)</f>
        <v>39</v>
      </c>
      <c r="D39" s="46" t="s">
        <v>74</v>
      </c>
      <c r="E39" s="47" t="s">
        <v>75</v>
      </c>
      <c r="F39" s="32">
        <v>105127738.48291667</v>
      </c>
      <c r="G39" s="32">
        <v>8760644.8735763896</v>
      </c>
      <c r="H39" s="26">
        <f t="shared" si="4"/>
        <v>36</v>
      </c>
      <c r="I39" s="32">
        <v>10393076.270833332</v>
      </c>
      <c r="J39" s="26">
        <f t="shared" si="5"/>
        <v>29</v>
      </c>
      <c r="K39" s="34">
        <f t="shared" si="3"/>
        <v>-0.15706912512882498</v>
      </c>
      <c r="L39" s="34">
        <f>IFERROR(VLOOKUP(Table2[[#This Row],[CUST-GROUP]],$E$70:$K$88,7,FALSE),0)</f>
        <v>0.20819267436989897</v>
      </c>
      <c r="M39" s="34">
        <f>IFERROR(VLOOKUP(E39,STM!G:K,4,FALSE),0)/G39-1</f>
        <v>0.17034445200201254</v>
      </c>
      <c r="N39" s="34">
        <f>IFERROR(VLOOKUP('SUMMARY MT 2026'!$B39,$E$70:$M$88,8,FALSE),0)</f>
        <v>0.23890658941664045</v>
      </c>
      <c r="O39" s="34">
        <f>IFERROR(VLOOKUP(E39,STM!G:K,5,FALSE),0)/G39-1</f>
        <v>-0.88893815734562476</v>
      </c>
      <c r="P39" s="34">
        <f>IFERROR(VLOOKUP('SUMMARY MT 2026'!$B39,$E$70:$M$88,9,FALSE),0)</f>
        <v>-0.33936199861588745</v>
      </c>
      <c r="Q39" s="34"/>
      <c r="R39" s="34"/>
      <c r="S39" s="34"/>
      <c r="T39" s="34"/>
      <c r="U39" s="34"/>
      <c r="V39" s="34"/>
      <c r="W39" s="34"/>
      <c r="X39" s="34"/>
      <c r="Y39" s="34"/>
      <c r="Z39" s="34"/>
      <c r="AA39" s="34"/>
      <c r="AB39" s="34"/>
      <c r="AC39" s="34"/>
      <c r="AD39" s="34"/>
      <c r="AE39" s="34"/>
      <c r="AF39" s="34"/>
      <c r="AG39" s="34"/>
      <c r="AH39" s="34"/>
      <c r="AI39" s="34"/>
      <c r="AJ39" s="34"/>
      <c r="AK39" s="30">
        <f>IFERROR(VLOOKUP(E39,[1]dashboard_SYAIFUL!$E$4:$AZ$76,47,FALSE),0)</f>
        <v>15</v>
      </c>
      <c r="AL39" s="30">
        <f>IFERROR(VLOOKUP(E39,[1]dashboard_SYAIFUL!$E$4:$AZ$76,48,FALSE),0)</f>
        <v>20</v>
      </c>
      <c r="AM39" s="30">
        <f>IFERROR(VLOOKUP(E39,[1]dashboard_SYAIFUL!$E$4:$BD$76,49,FALSE),0)</f>
        <v>9</v>
      </c>
      <c r="AN39" s="30">
        <f>IFERROR(VLOOKUP(E39,[1]dashboard_SYAIFUL!$E$4:$BD$76,50,FALSE),0)</f>
        <v>26</v>
      </c>
      <c r="AO39" s="30">
        <f>IFERROR(VLOOKUP('SUMMARY MT 2026'!$E39,[1]dashboard_SYAIFUL!$E$4:$CP$76,89,FALSE),0)</f>
        <v>1</v>
      </c>
      <c r="AP39" s="31">
        <f>IFERROR(VLOOKUP('SUMMARY MT 2026'!$E39,[1]dashboard_SYAIFUL!$E$4:$CP$76,90,FALSE),0)</f>
        <v>34</v>
      </c>
      <c r="AQ39" s="30"/>
      <c r="AR39" s="31">
        <f>35-Table2[[#This Row],[PARETO SKU MAR 2026]]</f>
        <v>35</v>
      </c>
      <c r="AS39" s="30"/>
      <c r="AT39" s="31">
        <f>35-Table2[[#This Row],[PARETO SKU MAR 2026]]</f>
        <v>35</v>
      </c>
      <c r="AU39" s="30"/>
      <c r="AV39" s="31">
        <f>35-Table2[[#This Row],[PARETO SKU MAR 2026]]</f>
        <v>35</v>
      </c>
      <c r="AW39" s="30"/>
      <c r="AX39" s="31">
        <f>35-Table2[[#This Row],[PARETO SKU MAR 2026]]</f>
        <v>35</v>
      </c>
      <c r="AY39" s="30"/>
      <c r="AZ39" s="31">
        <f>35-Table2[[#This Row],[PARETO SKU MAR 2026]]</f>
        <v>35</v>
      </c>
      <c r="BA39" s="30"/>
      <c r="BB39" s="31">
        <f>35-Table2[[#This Row],[PARETO SKU MAR 2026]]</f>
        <v>35</v>
      </c>
      <c r="BC39" s="30"/>
      <c r="BD39" s="31">
        <f>35-Table2[[#This Row],[PARETO SKU MAR 2026]]</f>
        <v>35</v>
      </c>
      <c r="BE39" s="30"/>
      <c r="BF39" s="31">
        <f>35-Table2[[#This Row],[PARETO SKU MAR 2026]]</f>
        <v>35</v>
      </c>
      <c r="BG39" s="30"/>
      <c r="BH39" s="31">
        <f>35-Table2[[#This Row],[PARETO SKU MAR 2026]]</f>
        <v>35</v>
      </c>
      <c r="BI39" s="30"/>
      <c r="BJ39" s="31">
        <f>35-Table2[[#This Row],[PARETO SKU MAR 2026]]</f>
        <v>35</v>
      </c>
      <c r="BL39" s="4"/>
    </row>
    <row r="40" spans="2:64" ht="27" customHeight="1" thickBot="1" x14ac:dyDescent="0.5">
      <c r="B40" s="45" t="s">
        <v>147</v>
      </c>
      <c r="C40" s="26">
        <f>RANK(IFERROR(VLOOKUP(Table2[[#This Row],[CUSTNO_DIST]],STM!B:C,2,FALSE),0),STM!$C$5:$C$65,0)</f>
        <v>23</v>
      </c>
      <c r="D40" s="46" t="s">
        <v>88</v>
      </c>
      <c r="E40" s="47" t="s">
        <v>89</v>
      </c>
      <c r="F40" s="32">
        <v>103976193.09499998</v>
      </c>
      <c r="G40" s="32">
        <v>8664682.7579166647</v>
      </c>
      <c r="H40" s="26">
        <f t="shared" si="4"/>
        <v>37</v>
      </c>
      <c r="I40" s="32">
        <v>5096425.805555555</v>
      </c>
      <c r="J40" s="26">
        <f t="shared" si="5"/>
        <v>46</v>
      </c>
      <c r="K40" s="34">
        <f t="shared" si="3"/>
        <v>0.7001489060178987</v>
      </c>
      <c r="L40" s="34">
        <f>IFERROR(VLOOKUP(Table2[[#This Row],[CUST-GROUP]],$E$70:$K$88,7,FALSE),0)</f>
        <v>-0.1059355584334789</v>
      </c>
      <c r="M40" s="34">
        <f>IFERROR(VLOOKUP(E40,STM!G:K,4,FALSE),0)/G40-1</f>
        <v>0.81718289382712439</v>
      </c>
      <c r="N40" s="34">
        <f>IFERROR(VLOOKUP('SUMMARY MT 2026'!$B40,$E$70:$M$88,8,FALSE),0)</f>
        <v>0.48461473864101223</v>
      </c>
      <c r="O40" s="34">
        <f>IFERROR(VLOOKUP(E40,STM!G:K,5,FALSE),0)/G40-1</f>
        <v>0.22315901240777225</v>
      </c>
      <c r="P40" s="34">
        <f>IFERROR(VLOOKUP('SUMMARY MT 2026'!$B40,$E$70:$M$88,9,FALSE),0)</f>
        <v>-0.12003957803341569</v>
      </c>
      <c r="Q40" s="34"/>
      <c r="R40" s="34"/>
      <c r="S40" s="34"/>
      <c r="T40" s="34"/>
      <c r="U40" s="34"/>
      <c r="V40" s="34"/>
      <c r="W40" s="34"/>
      <c r="X40" s="34"/>
      <c r="Y40" s="34"/>
      <c r="Z40" s="34"/>
      <c r="AA40" s="34"/>
      <c r="AB40" s="34"/>
      <c r="AC40" s="34"/>
      <c r="AD40" s="34"/>
      <c r="AE40" s="34"/>
      <c r="AF40" s="34"/>
      <c r="AG40" s="34"/>
      <c r="AH40" s="34"/>
      <c r="AI40" s="34"/>
      <c r="AJ40" s="34"/>
      <c r="AK40" s="30">
        <f>IFERROR(VLOOKUP(E40,[1]dashboard_SYAIFUL!$E$4:$AZ$76,47,FALSE),0)</f>
        <v>15</v>
      </c>
      <c r="AL40" s="30">
        <f>IFERROR(VLOOKUP(E40,[1]dashboard_SYAIFUL!$E$4:$AZ$76,48,FALSE),0)</f>
        <v>20</v>
      </c>
      <c r="AM40" s="30">
        <f>IFERROR(VLOOKUP(E40,[1]dashboard_SYAIFUL!$E$4:$BD$76,49,FALSE),0)</f>
        <v>14</v>
      </c>
      <c r="AN40" s="30">
        <f>IFERROR(VLOOKUP(E40,[1]dashboard_SYAIFUL!$E$4:$BD$76,50,FALSE),0)</f>
        <v>21</v>
      </c>
      <c r="AO40" s="30">
        <f>IFERROR(VLOOKUP('SUMMARY MT 2026'!$E40,[1]dashboard_SYAIFUL!$E$4:$CP$76,89,FALSE),0)</f>
        <v>10</v>
      </c>
      <c r="AP40" s="31">
        <f>IFERROR(VLOOKUP('SUMMARY MT 2026'!$E40,[1]dashboard_SYAIFUL!$E$4:$CP$76,90,FALSE),0)</f>
        <v>25</v>
      </c>
      <c r="AQ40" s="30"/>
      <c r="AR40" s="31">
        <f>35-Table2[[#This Row],[PARETO SKU MAR 2026]]</f>
        <v>35</v>
      </c>
      <c r="AS40" s="30"/>
      <c r="AT40" s="31">
        <f>35-Table2[[#This Row],[PARETO SKU MAR 2026]]</f>
        <v>35</v>
      </c>
      <c r="AU40" s="30"/>
      <c r="AV40" s="31">
        <f>35-Table2[[#This Row],[PARETO SKU MAR 2026]]</f>
        <v>35</v>
      </c>
      <c r="AW40" s="30"/>
      <c r="AX40" s="31">
        <f>35-Table2[[#This Row],[PARETO SKU MAR 2026]]</f>
        <v>35</v>
      </c>
      <c r="AY40" s="30"/>
      <c r="AZ40" s="31">
        <f>35-Table2[[#This Row],[PARETO SKU MAR 2026]]</f>
        <v>35</v>
      </c>
      <c r="BA40" s="30"/>
      <c r="BB40" s="31">
        <f>35-Table2[[#This Row],[PARETO SKU MAR 2026]]</f>
        <v>35</v>
      </c>
      <c r="BC40" s="30"/>
      <c r="BD40" s="31">
        <f>35-Table2[[#This Row],[PARETO SKU MAR 2026]]</f>
        <v>35</v>
      </c>
      <c r="BE40" s="30"/>
      <c r="BF40" s="31">
        <f>35-Table2[[#This Row],[PARETO SKU MAR 2026]]</f>
        <v>35</v>
      </c>
      <c r="BG40" s="30"/>
      <c r="BH40" s="31">
        <f>35-Table2[[#This Row],[PARETO SKU MAR 2026]]</f>
        <v>35</v>
      </c>
      <c r="BI40" s="30"/>
      <c r="BJ40" s="31">
        <f>35-Table2[[#This Row],[PARETO SKU MAR 2026]]</f>
        <v>35</v>
      </c>
      <c r="BL40" s="4"/>
    </row>
    <row r="41" spans="2:64" ht="27" customHeight="1" thickBot="1" x14ac:dyDescent="0.5">
      <c r="B41" s="45" t="s">
        <v>138</v>
      </c>
      <c r="C41" s="26">
        <f>RANK(IFERROR(VLOOKUP(Table2[[#This Row],[CUSTNO_DIST]],STM!B:C,2,FALSE),0),STM!$C$5:$C$65,0)</f>
        <v>34</v>
      </c>
      <c r="D41" s="46" t="s">
        <v>80</v>
      </c>
      <c r="E41" s="47" t="s">
        <v>81</v>
      </c>
      <c r="F41" s="32">
        <v>101415840.34906249</v>
      </c>
      <c r="G41" s="32">
        <v>8451320.02908854</v>
      </c>
      <c r="H41" s="26">
        <f t="shared" si="4"/>
        <v>38</v>
      </c>
      <c r="I41" s="32">
        <v>8728485.4502314832</v>
      </c>
      <c r="J41" s="26">
        <f t="shared" si="5"/>
        <v>34</v>
      </c>
      <c r="K41" s="34">
        <f t="shared" si="3"/>
        <v>-3.175412535465616E-2</v>
      </c>
      <c r="L41" s="34">
        <f>IFERROR(VLOOKUP(Table2[[#This Row],[CUST-GROUP]],$E$70:$K$88,7,FALSE),0)</f>
        <v>4.9144122299097592E-2</v>
      </c>
      <c r="M41" s="34">
        <f>IFERROR(VLOOKUP(E41,STM!G:K,4,FALSE),0)/G41-1</f>
        <v>0.25475364740372508</v>
      </c>
      <c r="N41" s="34">
        <f>IFERROR(VLOOKUP('SUMMARY MT 2026'!$B41,$E$70:$M$88,8,FALSE),0)</f>
        <v>0.6856309844288877</v>
      </c>
      <c r="O41" s="34">
        <f>IFERROR(VLOOKUP(E41,STM!G:K,5,FALSE),0)/G41-1</f>
        <v>-0.43123118588808074</v>
      </c>
      <c r="P41" s="34">
        <f>IFERROR(VLOOKUP('SUMMARY MT 2026'!$B41,$E$70:$M$88,9,FALSE),0)</f>
        <v>-0.53480502716537437</v>
      </c>
      <c r="Q41" s="34"/>
      <c r="R41" s="34"/>
      <c r="S41" s="34"/>
      <c r="T41" s="34"/>
      <c r="U41" s="34"/>
      <c r="V41" s="34"/>
      <c r="W41" s="34"/>
      <c r="X41" s="34"/>
      <c r="Y41" s="34"/>
      <c r="Z41" s="34"/>
      <c r="AA41" s="34"/>
      <c r="AB41" s="34"/>
      <c r="AC41" s="34"/>
      <c r="AD41" s="34"/>
      <c r="AE41" s="34"/>
      <c r="AF41" s="34"/>
      <c r="AG41" s="34"/>
      <c r="AH41" s="34"/>
      <c r="AI41" s="34"/>
      <c r="AJ41" s="34"/>
      <c r="AK41" s="30">
        <f>IFERROR(VLOOKUP(E41,[1]dashboard_SYAIFUL!$E$4:$AZ$76,47,FALSE),0)</f>
        <v>21</v>
      </c>
      <c r="AL41" s="30">
        <f>IFERROR(VLOOKUP(E41,[1]dashboard_SYAIFUL!$E$4:$AZ$76,48,FALSE),0)</f>
        <v>14</v>
      </c>
      <c r="AM41" s="30">
        <f>IFERROR(VLOOKUP(E41,[1]dashboard_SYAIFUL!$E$4:$BD$76,49,FALSE),0)</f>
        <v>13</v>
      </c>
      <c r="AN41" s="30">
        <f>IFERROR(VLOOKUP(E41,[1]dashboard_SYAIFUL!$E$4:$BD$76,50,FALSE),0)</f>
        <v>22</v>
      </c>
      <c r="AO41" s="30">
        <f>IFERROR(VLOOKUP('SUMMARY MT 2026'!$E41,[1]dashboard_SYAIFUL!$E$4:$CP$76,89,FALSE),0)</f>
        <v>8</v>
      </c>
      <c r="AP41" s="31">
        <f>IFERROR(VLOOKUP('SUMMARY MT 2026'!$E41,[1]dashboard_SYAIFUL!$E$4:$CP$76,90,FALSE),0)</f>
        <v>27</v>
      </c>
      <c r="AQ41" s="30"/>
      <c r="AR41" s="31">
        <f>35-Table2[[#This Row],[PARETO SKU MAR 2026]]</f>
        <v>35</v>
      </c>
      <c r="AS41" s="30"/>
      <c r="AT41" s="31">
        <f>35-Table2[[#This Row],[PARETO SKU MAR 2026]]</f>
        <v>35</v>
      </c>
      <c r="AU41" s="30"/>
      <c r="AV41" s="31">
        <f>35-Table2[[#This Row],[PARETO SKU MAR 2026]]</f>
        <v>35</v>
      </c>
      <c r="AW41" s="30"/>
      <c r="AX41" s="31">
        <f>35-Table2[[#This Row],[PARETO SKU MAR 2026]]</f>
        <v>35</v>
      </c>
      <c r="AY41" s="30"/>
      <c r="AZ41" s="31">
        <f>35-Table2[[#This Row],[PARETO SKU MAR 2026]]</f>
        <v>35</v>
      </c>
      <c r="BA41" s="30"/>
      <c r="BB41" s="31">
        <f>35-Table2[[#This Row],[PARETO SKU MAR 2026]]</f>
        <v>35</v>
      </c>
      <c r="BC41" s="30"/>
      <c r="BD41" s="31">
        <f>35-Table2[[#This Row],[PARETO SKU MAR 2026]]</f>
        <v>35</v>
      </c>
      <c r="BE41" s="30"/>
      <c r="BF41" s="31">
        <f>35-Table2[[#This Row],[PARETO SKU MAR 2026]]</f>
        <v>35</v>
      </c>
      <c r="BG41" s="30"/>
      <c r="BH41" s="31">
        <f>35-Table2[[#This Row],[PARETO SKU MAR 2026]]</f>
        <v>35</v>
      </c>
      <c r="BI41" s="30"/>
      <c r="BJ41" s="31">
        <f>35-Table2[[#This Row],[PARETO SKU MAR 2026]]</f>
        <v>35</v>
      </c>
      <c r="BL41" s="4"/>
    </row>
    <row r="42" spans="2:64" ht="27" customHeight="1" thickBot="1" x14ac:dyDescent="0.5">
      <c r="B42" s="45" t="s">
        <v>145</v>
      </c>
      <c r="C42" s="26">
        <f>RANK(IFERROR(VLOOKUP(Table2[[#This Row],[CUSTNO_DIST]],STM!B:C,2,FALSE),0),STM!$C$5:$C$65,0)</f>
        <v>42</v>
      </c>
      <c r="D42" s="46" t="s">
        <v>82</v>
      </c>
      <c r="E42" s="47" t="s">
        <v>83</v>
      </c>
      <c r="F42" s="32">
        <v>101251335.00312501</v>
      </c>
      <c r="G42" s="32">
        <v>8437611.2502604183</v>
      </c>
      <c r="H42" s="26">
        <f t="shared" si="4"/>
        <v>39</v>
      </c>
      <c r="I42" s="32">
        <v>8590682.2633101828</v>
      </c>
      <c r="J42" s="26">
        <f t="shared" si="5"/>
        <v>35</v>
      </c>
      <c r="K42" s="34">
        <f t="shared" si="3"/>
        <v>-1.7818260338123948E-2</v>
      </c>
      <c r="L42" s="34">
        <f>IFERROR(VLOOKUP(Table2[[#This Row],[CUST-GROUP]],$E$70:$K$88,7,FALSE),0)</f>
        <v>-5.3128670378995491E-2</v>
      </c>
      <c r="M42" s="34">
        <f>IFERROR(VLOOKUP(E42,STM!G:K,4,FALSE),0)/G42-1</f>
        <v>-2.998729367895514E-2</v>
      </c>
      <c r="N42" s="34">
        <f>IFERROR(VLOOKUP('SUMMARY MT 2026'!$B42,$E$70:$M$88,8,FALSE),0)</f>
        <v>-0.15103723753942244</v>
      </c>
      <c r="O42" s="34">
        <f>IFERROR(VLOOKUP(E42,STM!G:K,5,FALSE),0)/G42-1</f>
        <v>-0.80825879303812831</v>
      </c>
      <c r="P42" s="34">
        <f>IFERROR(VLOOKUP('SUMMARY MT 2026'!$B42,$E$70:$M$88,9,FALSE),0)</f>
        <v>-0.84928342353557995</v>
      </c>
      <c r="Q42" s="34"/>
      <c r="R42" s="34"/>
      <c r="S42" s="34"/>
      <c r="T42" s="34"/>
      <c r="U42" s="34"/>
      <c r="V42" s="34"/>
      <c r="W42" s="34"/>
      <c r="X42" s="34"/>
      <c r="Y42" s="34"/>
      <c r="Z42" s="34"/>
      <c r="AA42" s="34"/>
      <c r="AB42" s="34"/>
      <c r="AC42" s="34"/>
      <c r="AD42" s="34"/>
      <c r="AE42" s="34"/>
      <c r="AF42" s="34"/>
      <c r="AG42" s="34"/>
      <c r="AH42" s="34"/>
      <c r="AI42" s="34"/>
      <c r="AJ42" s="34"/>
      <c r="AK42" s="30">
        <f>IFERROR(VLOOKUP(E42,[1]dashboard_SYAIFUL!$E$4:$AZ$76,47,FALSE),0)</f>
        <v>26</v>
      </c>
      <c r="AL42" s="30">
        <f>IFERROR(VLOOKUP(E42,[1]dashboard_SYAIFUL!$E$4:$AZ$76,48,FALSE),0)</f>
        <v>9</v>
      </c>
      <c r="AM42" s="30">
        <f>IFERROR(VLOOKUP(E42,[1]dashboard_SYAIFUL!$E$4:$BD$76,49,FALSE),0)</f>
        <v>16</v>
      </c>
      <c r="AN42" s="30">
        <f>IFERROR(VLOOKUP(E42,[1]dashboard_SYAIFUL!$E$4:$BD$76,50,FALSE),0)</f>
        <v>19</v>
      </c>
      <c r="AO42" s="30">
        <f>IFERROR(VLOOKUP('SUMMARY MT 2026'!$E42,[1]dashboard_SYAIFUL!$E$4:$CP$76,89,FALSE),0)</f>
        <v>11</v>
      </c>
      <c r="AP42" s="31">
        <f>IFERROR(VLOOKUP('SUMMARY MT 2026'!$E42,[1]dashboard_SYAIFUL!$E$4:$CP$76,90,FALSE),0)</f>
        <v>24</v>
      </c>
      <c r="AQ42" s="30"/>
      <c r="AR42" s="31">
        <f>35-Table2[[#This Row],[PARETO SKU MAR 2026]]</f>
        <v>35</v>
      </c>
      <c r="AS42" s="30"/>
      <c r="AT42" s="31">
        <f>35-Table2[[#This Row],[PARETO SKU MAR 2026]]</f>
        <v>35</v>
      </c>
      <c r="AU42" s="30"/>
      <c r="AV42" s="31">
        <f>35-Table2[[#This Row],[PARETO SKU MAR 2026]]</f>
        <v>35</v>
      </c>
      <c r="AW42" s="30"/>
      <c r="AX42" s="31">
        <f>35-Table2[[#This Row],[PARETO SKU MAR 2026]]</f>
        <v>35</v>
      </c>
      <c r="AY42" s="30"/>
      <c r="AZ42" s="31">
        <f>35-Table2[[#This Row],[PARETO SKU MAR 2026]]</f>
        <v>35</v>
      </c>
      <c r="BA42" s="30"/>
      <c r="BB42" s="31">
        <f>35-Table2[[#This Row],[PARETO SKU MAR 2026]]</f>
        <v>35</v>
      </c>
      <c r="BC42" s="30"/>
      <c r="BD42" s="31">
        <f>35-Table2[[#This Row],[PARETO SKU MAR 2026]]</f>
        <v>35</v>
      </c>
      <c r="BE42" s="30"/>
      <c r="BF42" s="31">
        <f>35-Table2[[#This Row],[PARETO SKU MAR 2026]]</f>
        <v>35</v>
      </c>
      <c r="BG42" s="30"/>
      <c r="BH42" s="31">
        <f>35-Table2[[#This Row],[PARETO SKU MAR 2026]]</f>
        <v>35</v>
      </c>
      <c r="BI42" s="30"/>
      <c r="BJ42" s="31">
        <f>35-Table2[[#This Row],[PARETO SKU MAR 2026]]</f>
        <v>35</v>
      </c>
      <c r="BL42" s="4"/>
    </row>
    <row r="43" spans="2:64" ht="27" customHeight="1" thickBot="1" x14ac:dyDescent="0.5">
      <c r="B43" s="45" t="s">
        <v>146</v>
      </c>
      <c r="C43" s="26">
        <f>RANK(IFERROR(VLOOKUP(Table2[[#This Row],[CUSTNO_DIST]],STM!B:C,2,FALSE),0),STM!$C$5:$C$65,0)</f>
        <v>47</v>
      </c>
      <c r="D43" s="46" t="s">
        <v>86</v>
      </c>
      <c r="E43" s="47" t="s">
        <v>87</v>
      </c>
      <c r="F43" s="32">
        <v>89004944.420625001</v>
      </c>
      <c r="G43" s="32">
        <v>7417078.7017187504</v>
      </c>
      <c r="H43" s="26">
        <f t="shared" si="4"/>
        <v>40</v>
      </c>
      <c r="I43" s="32">
        <v>6865607.399305556</v>
      </c>
      <c r="J43" s="26">
        <f t="shared" si="5"/>
        <v>40</v>
      </c>
      <c r="K43" s="34">
        <f t="shared" si="3"/>
        <v>8.0323745641059263E-2</v>
      </c>
      <c r="L43" s="34">
        <f>IFERROR(VLOOKUP(Table2[[#This Row],[CUST-GROUP]],$E$70:$K$88,7,FALSE),0)</f>
        <v>0.32882906953660029</v>
      </c>
      <c r="M43" s="34">
        <f>IFERROR(VLOOKUP(E43,STM!G:K,4,FALSE),0)/G43-1</f>
        <v>-0.14285962800599783</v>
      </c>
      <c r="N43" s="34">
        <f>IFERROR(VLOOKUP('SUMMARY MT 2026'!$B43,$E$70:$M$88,8,FALSE),0)</f>
        <v>-0.18155285152426304</v>
      </c>
      <c r="O43" s="34">
        <f>IFERROR(VLOOKUP(E43,STM!G:K,5,FALSE),0)/G43-1</f>
        <v>-1</v>
      </c>
      <c r="P43" s="34">
        <f>IFERROR(VLOOKUP('SUMMARY MT 2026'!$B43,$E$70:$M$88,9,FALSE),0)</f>
        <v>-0.60746135603376106</v>
      </c>
      <c r="Q43" s="34"/>
      <c r="R43" s="34"/>
      <c r="S43" s="34"/>
      <c r="T43" s="34"/>
      <c r="U43" s="34"/>
      <c r="V43" s="34"/>
      <c r="W43" s="34"/>
      <c r="X43" s="34"/>
      <c r="Y43" s="34"/>
      <c r="Z43" s="34"/>
      <c r="AA43" s="34"/>
      <c r="AB43" s="34"/>
      <c r="AC43" s="34"/>
      <c r="AD43" s="34"/>
      <c r="AE43" s="34"/>
      <c r="AF43" s="34"/>
      <c r="AG43" s="34"/>
      <c r="AH43" s="34"/>
      <c r="AI43" s="34"/>
      <c r="AJ43" s="34"/>
      <c r="AK43" s="30">
        <f>IFERROR(VLOOKUP(E43,[1]dashboard_SYAIFUL!$E$4:$AZ$76,47,FALSE),0)</f>
        <v>14</v>
      </c>
      <c r="AL43" s="30">
        <f>IFERROR(VLOOKUP(E43,[1]dashboard_SYAIFUL!$E$4:$AZ$76,48,FALSE),0)</f>
        <v>21</v>
      </c>
      <c r="AM43" s="30">
        <f>IFERROR(VLOOKUP(E43,[1]dashboard_SYAIFUL!$E$4:$BD$76,49,FALSE),0)</f>
        <v>6</v>
      </c>
      <c r="AN43" s="30">
        <f>IFERROR(VLOOKUP(E43,[1]dashboard_SYAIFUL!$E$4:$BD$76,50,FALSE),0)</f>
        <v>29</v>
      </c>
      <c r="AO43" s="30">
        <f>IFERROR(VLOOKUP('SUMMARY MT 2026'!$E43,[1]dashboard_SYAIFUL!$E$4:$CP$76,89,FALSE),0)</f>
        <v>0</v>
      </c>
      <c r="AP43" s="31">
        <f>IFERROR(VLOOKUP('SUMMARY MT 2026'!$E43,[1]dashboard_SYAIFUL!$E$4:$CP$76,90,FALSE),0)</f>
        <v>35</v>
      </c>
      <c r="AQ43" s="30"/>
      <c r="AR43" s="31">
        <f>35-Table2[[#This Row],[PARETO SKU MAR 2026]]</f>
        <v>35</v>
      </c>
      <c r="AS43" s="30"/>
      <c r="AT43" s="31">
        <f>35-Table2[[#This Row],[PARETO SKU MAR 2026]]</f>
        <v>35</v>
      </c>
      <c r="AU43" s="30"/>
      <c r="AV43" s="31">
        <f>35-Table2[[#This Row],[PARETO SKU MAR 2026]]</f>
        <v>35</v>
      </c>
      <c r="AW43" s="30"/>
      <c r="AX43" s="31">
        <f>35-Table2[[#This Row],[PARETO SKU MAR 2026]]</f>
        <v>35</v>
      </c>
      <c r="AY43" s="30"/>
      <c r="AZ43" s="31">
        <f>35-Table2[[#This Row],[PARETO SKU MAR 2026]]</f>
        <v>35</v>
      </c>
      <c r="BA43" s="30"/>
      <c r="BB43" s="31">
        <f>35-Table2[[#This Row],[PARETO SKU MAR 2026]]</f>
        <v>35</v>
      </c>
      <c r="BC43" s="30"/>
      <c r="BD43" s="31">
        <f>35-Table2[[#This Row],[PARETO SKU MAR 2026]]</f>
        <v>35</v>
      </c>
      <c r="BE43" s="30"/>
      <c r="BF43" s="31">
        <f>35-Table2[[#This Row],[PARETO SKU MAR 2026]]</f>
        <v>35</v>
      </c>
      <c r="BG43" s="30"/>
      <c r="BH43" s="31">
        <f>35-Table2[[#This Row],[PARETO SKU MAR 2026]]</f>
        <v>35</v>
      </c>
      <c r="BI43" s="30"/>
      <c r="BJ43" s="31">
        <f>35-Table2[[#This Row],[PARETO SKU MAR 2026]]</f>
        <v>35</v>
      </c>
      <c r="BL43" s="4"/>
    </row>
    <row r="44" spans="2:64" ht="27" customHeight="1" thickBot="1" x14ac:dyDescent="0.5">
      <c r="B44" s="45" t="s">
        <v>140</v>
      </c>
      <c r="C44" s="26">
        <f>RANK(IFERROR(VLOOKUP(Table2[[#This Row],[CUSTNO_DIST]],STM!B:C,2,FALSE),0),STM!$C$5:$C$65,0)</f>
        <v>21</v>
      </c>
      <c r="D44" s="46" t="s">
        <v>84</v>
      </c>
      <c r="E44" s="47" t="s">
        <v>85</v>
      </c>
      <c r="F44" s="32">
        <v>88371066.301874995</v>
      </c>
      <c r="G44" s="32">
        <v>7364255.5251562493</v>
      </c>
      <c r="H44" s="26">
        <f t="shared" si="4"/>
        <v>41</v>
      </c>
      <c r="I44" s="32">
        <v>6172596.758680555</v>
      </c>
      <c r="J44" s="26">
        <f t="shared" si="5"/>
        <v>43</v>
      </c>
      <c r="K44" s="34">
        <f t="shared" si="3"/>
        <v>0.19305631212663599</v>
      </c>
      <c r="L44" s="34">
        <f>IFERROR(VLOOKUP(Table2[[#This Row],[CUST-GROUP]],$E$70:$K$88,7,FALSE),0)</f>
        <v>3.5428639582653076E-2</v>
      </c>
      <c r="M44" s="34">
        <f>IFERROR(VLOOKUP(E44,STM!G:K,4,FALSE),0)/G44-1</f>
        <v>0.30462217663151425</v>
      </c>
      <c r="N44" s="34">
        <f>IFERROR(VLOOKUP('SUMMARY MT 2026'!$B44,$E$70:$M$88,8,FALSE),0)</f>
        <v>-0.15994413784687966</v>
      </c>
      <c r="O44" s="34">
        <f>IFERROR(VLOOKUP(E44,STM!G:K,5,FALSE),0)/G44-1</f>
        <v>1.4509930974478298</v>
      </c>
      <c r="P44" s="34">
        <f>IFERROR(VLOOKUP('SUMMARY MT 2026'!$B44,$E$70:$M$88,9,FALSE),0)</f>
        <v>-0.14096078160073211</v>
      </c>
      <c r="Q44" s="34"/>
      <c r="R44" s="34"/>
      <c r="S44" s="34"/>
      <c r="T44" s="34"/>
      <c r="U44" s="34"/>
      <c r="V44" s="34"/>
      <c r="W44" s="34"/>
      <c r="X44" s="34"/>
      <c r="Y44" s="34"/>
      <c r="Z44" s="34"/>
      <c r="AA44" s="34"/>
      <c r="AB44" s="34"/>
      <c r="AC44" s="34"/>
      <c r="AD44" s="34"/>
      <c r="AE44" s="34"/>
      <c r="AF44" s="34"/>
      <c r="AG44" s="34"/>
      <c r="AH44" s="34"/>
      <c r="AI44" s="34"/>
      <c r="AJ44" s="34"/>
      <c r="AK44" s="30">
        <f>IFERROR(VLOOKUP(E44,[1]dashboard_SYAIFUL!$E$4:$AZ$76,47,FALSE),0)</f>
        <v>12</v>
      </c>
      <c r="AL44" s="30">
        <f>IFERROR(VLOOKUP(E44,[1]dashboard_SYAIFUL!$E$4:$AZ$76,48,FALSE),0)</f>
        <v>23</v>
      </c>
      <c r="AM44" s="30">
        <f>IFERROR(VLOOKUP(E44,[1]dashboard_SYAIFUL!$E$4:$BD$76,49,FALSE),0)</f>
        <v>7</v>
      </c>
      <c r="AN44" s="30">
        <f>IFERROR(VLOOKUP(E44,[1]dashboard_SYAIFUL!$E$4:$BD$76,50,FALSE),0)</f>
        <v>28</v>
      </c>
      <c r="AO44" s="30">
        <f>IFERROR(VLOOKUP('SUMMARY MT 2026'!$E44,[1]dashboard_SYAIFUL!$E$4:$CP$76,89,FALSE),0)</f>
        <v>6</v>
      </c>
      <c r="AP44" s="31">
        <f>IFERROR(VLOOKUP('SUMMARY MT 2026'!$E44,[1]dashboard_SYAIFUL!$E$4:$CP$76,90,FALSE),0)</f>
        <v>29</v>
      </c>
      <c r="AQ44" s="30"/>
      <c r="AR44" s="31">
        <f>35-Table2[[#This Row],[PARETO SKU MAR 2026]]</f>
        <v>35</v>
      </c>
      <c r="AS44" s="30"/>
      <c r="AT44" s="31">
        <f>35-Table2[[#This Row],[PARETO SKU MAR 2026]]</f>
        <v>35</v>
      </c>
      <c r="AU44" s="30"/>
      <c r="AV44" s="31">
        <f>35-Table2[[#This Row],[PARETO SKU MAR 2026]]</f>
        <v>35</v>
      </c>
      <c r="AW44" s="30"/>
      <c r="AX44" s="31">
        <f>35-Table2[[#This Row],[PARETO SKU MAR 2026]]</f>
        <v>35</v>
      </c>
      <c r="AY44" s="30"/>
      <c r="AZ44" s="31">
        <f>35-Table2[[#This Row],[PARETO SKU MAR 2026]]</f>
        <v>35</v>
      </c>
      <c r="BA44" s="30"/>
      <c r="BB44" s="31">
        <f>35-Table2[[#This Row],[PARETO SKU MAR 2026]]</f>
        <v>35</v>
      </c>
      <c r="BC44" s="30"/>
      <c r="BD44" s="31">
        <f>35-Table2[[#This Row],[PARETO SKU MAR 2026]]</f>
        <v>35</v>
      </c>
      <c r="BE44" s="30"/>
      <c r="BF44" s="31">
        <f>35-Table2[[#This Row],[PARETO SKU MAR 2026]]</f>
        <v>35</v>
      </c>
      <c r="BG44" s="30"/>
      <c r="BH44" s="31">
        <f>35-Table2[[#This Row],[PARETO SKU MAR 2026]]</f>
        <v>35</v>
      </c>
      <c r="BI44" s="30"/>
      <c r="BJ44" s="31">
        <f>35-Table2[[#This Row],[PARETO SKU MAR 2026]]</f>
        <v>35</v>
      </c>
      <c r="BL44" s="4"/>
    </row>
    <row r="45" spans="2:64" ht="27" customHeight="1" thickBot="1" x14ac:dyDescent="0.5">
      <c r="B45" s="45" t="s">
        <v>140</v>
      </c>
      <c r="C45" s="26">
        <f>RANK(IFERROR(VLOOKUP(Table2[[#This Row],[CUSTNO_DIST]],STM!B:C,2,FALSE),0),STM!$C$5:$C$65,0)</f>
        <v>40</v>
      </c>
      <c r="D45" s="46" t="s">
        <v>92</v>
      </c>
      <c r="E45" s="47" t="s">
        <v>93</v>
      </c>
      <c r="F45" s="32">
        <v>78318722.235312521</v>
      </c>
      <c r="G45" s="32">
        <v>6526560.1862760438</v>
      </c>
      <c r="H45" s="26">
        <f t="shared" si="4"/>
        <v>42</v>
      </c>
      <c r="I45" s="32">
        <v>5933617.6527777771</v>
      </c>
      <c r="J45" s="26">
        <f t="shared" si="5"/>
        <v>44</v>
      </c>
      <c r="K45" s="34">
        <f t="shared" si="3"/>
        <v>9.9929346344162395E-2</v>
      </c>
      <c r="L45" s="34">
        <f>IFERROR(VLOOKUP(Table2[[#This Row],[CUST-GROUP]],$E$70:$K$88,7,FALSE),0)</f>
        <v>3.5428639582653076E-2</v>
      </c>
      <c r="M45" s="34">
        <f>IFERROR(VLOOKUP(E45,STM!G:K,4,FALSE),0)/G45-1</f>
        <v>0.50292376210305334</v>
      </c>
      <c r="N45" s="34">
        <f>IFERROR(VLOOKUP('SUMMARY MT 2026'!$B45,$E$70:$M$88,8,FALSE),0)</f>
        <v>-0.15994413784687966</v>
      </c>
      <c r="O45" s="34">
        <f>IFERROR(VLOOKUP(E45,STM!G:K,5,FALSE),0)/G45-1</f>
        <v>-0.86003135684385112</v>
      </c>
      <c r="P45" s="34">
        <f>IFERROR(VLOOKUP('SUMMARY MT 2026'!$B45,$E$70:$M$88,9,FALSE),0)</f>
        <v>-0.14096078160073211</v>
      </c>
      <c r="Q45" s="34"/>
      <c r="R45" s="34"/>
      <c r="S45" s="34"/>
      <c r="T45" s="34"/>
      <c r="U45" s="34"/>
      <c r="V45" s="34"/>
      <c r="W45" s="34"/>
      <c r="X45" s="34"/>
      <c r="Y45" s="34"/>
      <c r="Z45" s="34"/>
      <c r="AA45" s="34"/>
      <c r="AB45" s="34"/>
      <c r="AC45" s="34"/>
      <c r="AD45" s="34"/>
      <c r="AE45" s="34"/>
      <c r="AF45" s="34"/>
      <c r="AG45" s="34"/>
      <c r="AH45" s="34"/>
      <c r="AI45" s="34"/>
      <c r="AJ45" s="34"/>
      <c r="AK45" s="30">
        <f>IFERROR(VLOOKUP(E45,[1]dashboard_SYAIFUL!$E$4:$AZ$76,47,FALSE),0)</f>
        <v>14</v>
      </c>
      <c r="AL45" s="30">
        <f>IFERROR(VLOOKUP(E45,[1]dashboard_SYAIFUL!$E$4:$AZ$76,48,FALSE),0)</f>
        <v>21</v>
      </c>
      <c r="AM45" s="30">
        <f>IFERROR(VLOOKUP(E45,[1]dashboard_SYAIFUL!$E$4:$BD$76,49,FALSE),0)</f>
        <v>9</v>
      </c>
      <c r="AN45" s="30">
        <f>IFERROR(VLOOKUP(E45,[1]dashboard_SYAIFUL!$E$4:$BD$76,50,FALSE),0)</f>
        <v>26</v>
      </c>
      <c r="AO45" s="30">
        <f>IFERROR(VLOOKUP('SUMMARY MT 2026'!$E45,[1]dashboard_SYAIFUL!$E$4:$CP$76,89,FALSE),0)</f>
        <v>4</v>
      </c>
      <c r="AP45" s="31">
        <f>IFERROR(VLOOKUP('SUMMARY MT 2026'!$E45,[1]dashboard_SYAIFUL!$E$4:$CP$76,90,FALSE),0)</f>
        <v>31</v>
      </c>
      <c r="AQ45" s="30"/>
      <c r="AR45" s="31">
        <f>35-Table2[[#This Row],[PARETO SKU MAR 2026]]</f>
        <v>35</v>
      </c>
      <c r="AS45" s="30"/>
      <c r="AT45" s="31">
        <f>35-Table2[[#This Row],[PARETO SKU MAR 2026]]</f>
        <v>35</v>
      </c>
      <c r="AU45" s="30"/>
      <c r="AV45" s="31">
        <f>35-Table2[[#This Row],[PARETO SKU MAR 2026]]</f>
        <v>35</v>
      </c>
      <c r="AW45" s="30"/>
      <c r="AX45" s="31">
        <f>35-Table2[[#This Row],[PARETO SKU MAR 2026]]</f>
        <v>35</v>
      </c>
      <c r="AY45" s="30"/>
      <c r="AZ45" s="31">
        <f>35-Table2[[#This Row],[PARETO SKU MAR 2026]]</f>
        <v>35</v>
      </c>
      <c r="BA45" s="30"/>
      <c r="BB45" s="31">
        <f>35-Table2[[#This Row],[PARETO SKU MAR 2026]]</f>
        <v>35</v>
      </c>
      <c r="BC45" s="30"/>
      <c r="BD45" s="31">
        <f>35-Table2[[#This Row],[PARETO SKU MAR 2026]]</f>
        <v>35</v>
      </c>
      <c r="BE45" s="30"/>
      <c r="BF45" s="31">
        <f>35-Table2[[#This Row],[PARETO SKU MAR 2026]]</f>
        <v>35</v>
      </c>
      <c r="BG45" s="30"/>
      <c r="BH45" s="31">
        <f>35-Table2[[#This Row],[PARETO SKU MAR 2026]]</f>
        <v>35</v>
      </c>
      <c r="BI45" s="30"/>
      <c r="BJ45" s="31">
        <f>35-Table2[[#This Row],[PARETO SKU MAR 2026]]</f>
        <v>35</v>
      </c>
      <c r="BL45" s="4"/>
    </row>
    <row r="46" spans="2:64" ht="27" customHeight="1" thickBot="1" x14ac:dyDescent="0.5">
      <c r="B46" s="45" t="s">
        <v>140</v>
      </c>
      <c r="C46" s="26">
        <f>RANK(IFERROR(VLOOKUP(Table2[[#This Row],[CUSTNO_DIST]],STM!B:C,2,FALSE),0),STM!$C$5:$C$65,0)</f>
        <v>38</v>
      </c>
      <c r="D46" s="46" t="s">
        <v>98</v>
      </c>
      <c r="E46" s="47" t="s">
        <v>99</v>
      </c>
      <c r="F46" s="32">
        <v>77772501.159999982</v>
      </c>
      <c r="G46" s="32">
        <v>6481041.7633333318</v>
      </c>
      <c r="H46" s="26">
        <f t="shared" si="4"/>
        <v>43</v>
      </c>
      <c r="I46" s="32">
        <v>7981086.693576389</v>
      </c>
      <c r="J46" s="26">
        <f t="shared" si="5"/>
        <v>38</v>
      </c>
      <c r="K46" s="34">
        <f t="shared" si="3"/>
        <v>-0.18794996068021341</v>
      </c>
      <c r="L46" s="34">
        <f>IFERROR(VLOOKUP(Table2[[#This Row],[CUST-GROUP]],$E$70:$K$88,7,FALSE),0)</f>
        <v>3.5428639582653076E-2</v>
      </c>
      <c r="M46" s="34">
        <f>IFERROR(VLOOKUP(E46,STM!G:K,4,FALSE),0)/G46-1</f>
        <v>3.8051825302772624E-2</v>
      </c>
      <c r="N46" s="34">
        <f>IFERROR(VLOOKUP('SUMMARY MT 2026'!$B46,$E$70:$M$88,8,FALSE),0)</f>
        <v>-0.15994413784687966</v>
      </c>
      <c r="O46" s="34">
        <f>IFERROR(VLOOKUP(E46,STM!G:K,5,FALSE),0)/G46-1</f>
        <v>-0.21809395126183406</v>
      </c>
      <c r="P46" s="34">
        <f>IFERROR(VLOOKUP('SUMMARY MT 2026'!$B46,$E$70:$M$88,9,FALSE),0)</f>
        <v>-0.14096078160073211</v>
      </c>
      <c r="Q46" s="34"/>
      <c r="R46" s="34"/>
      <c r="S46" s="34"/>
      <c r="T46" s="34"/>
      <c r="U46" s="34"/>
      <c r="V46" s="34"/>
      <c r="W46" s="34"/>
      <c r="X46" s="34"/>
      <c r="Y46" s="34"/>
      <c r="Z46" s="34"/>
      <c r="AA46" s="34"/>
      <c r="AB46" s="34"/>
      <c r="AC46" s="34"/>
      <c r="AD46" s="34"/>
      <c r="AE46" s="34"/>
      <c r="AF46" s="34"/>
      <c r="AG46" s="34"/>
      <c r="AH46" s="34"/>
      <c r="AI46" s="34"/>
      <c r="AJ46" s="34"/>
      <c r="AK46" s="30">
        <f>IFERROR(VLOOKUP(E46,[1]dashboard_SYAIFUL!$E$4:$AZ$76,47,FALSE),0)</f>
        <v>13</v>
      </c>
      <c r="AL46" s="30">
        <f>IFERROR(VLOOKUP(E46,[1]dashboard_SYAIFUL!$E$4:$AZ$76,48,FALSE),0)</f>
        <v>22</v>
      </c>
      <c r="AM46" s="30">
        <f>IFERROR(VLOOKUP(E46,[1]dashboard_SYAIFUL!$E$4:$BD$76,49,FALSE),0)</f>
        <v>8</v>
      </c>
      <c r="AN46" s="30">
        <f>IFERROR(VLOOKUP(E46,[1]dashboard_SYAIFUL!$E$4:$BD$76,50,FALSE),0)</f>
        <v>27</v>
      </c>
      <c r="AO46" s="30">
        <f>IFERROR(VLOOKUP('SUMMARY MT 2026'!$E46,[1]dashboard_SYAIFUL!$E$4:$CP$76,89,FALSE),0)</f>
        <v>7</v>
      </c>
      <c r="AP46" s="31">
        <f>IFERROR(VLOOKUP('SUMMARY MT 2026'!$E46,[1]dashboard_SYAIFUL!$E$4:$CP$76,90,FALSE),0)</f>
        <v>28</v>
      </c>
      <c r="AQ46" s="30"/>
      <c r="AR46" s="31">
        <f>35-Table2[[#This Row],[PARETO SKU MAR 2026]]</f>
        <v>35</v>
      </c>
      <c r="AS46" s="30"/>
      <c r="AT46" s="31">
        <f>35-Table2[[#This Row],[PARETO SKU MAR 2026]]</f>
        <v>35</v>
      </c>
      <c r="AU46" s="30"/>
      <c r="AV46" s="31">
        <f>35-Table2[[#This Row],[PARETO SKU MAR 2026]]</f>
        <v>35</v>
      </c>
      <c r="AW46" s="30"/>
      <c r="AX46" s="31">
        <f>35-Table2[[#This Row],[PARETO SKU MAR 2026]]</f>
        <v>35</v>
      </c>
      <c r="AY46" s="30"/>
      <c r="AZ46" s="31">
        <f>35-Table2[[#This Row],[PARETO SKU MAR 2026]]</f>
        <v>35</v>
      </c>
      <c r="BA46" s="30"/>
      <c r="BB46" s="31">
        <f>35-Table2[[#This Row],[PARETO SKU MAR 2026]]</f>
        <v>35</v>
      </c>
      <c r="BC46" s="30"/>
      <c r="BD46" s="31">
        <f>35-Table2[[#This Row],[PARETO SKU MAR 2026]]</f>
        <v>35</v>
      </c>
      <c r="BE46" s="30"/>
      <c r="BF46" s="31">
        <f>35-Table2[[#This Row],[PARETO SKU MAR 2026]]</f>
        <v>35</v>
      </c>
      <c r="BG46" s="30"/>
      <c r="BH46" s="31">
        <f>35-Table2[[#This Row],[PARETO SKU MAR 2026]]</f>
        <v>35</v>
      </c>
      <c r="BI46" s="30"/>
      <c r="BJ46" s="31">
        <f>35-Table2[[#This Row],[PARETO SKU MAR 2026]]</f>
        <v>35</v>
      </c>
      <c r="BL46" s="4"/>
    </row>
    <row r="47" spans="2:64" ht="27" customHeight="1" thickBot="1" x14ac:dyDescent="0.5">
      <c r="B47" s="45" t="s">
        <v>145</v>
      </c>
      <c r="C47" s="26">
        <f>RANK(IFERROR(VLOOKUP(Table2[[#This Row],[CUSTNO_DIST]],STM!B:C,2,FALSE),0),STM!$C$5:$C$65,0)</f>
        <v>51</v>
      </c>
      <c r="D47" s="46" t="s">
        <v>96</v>
      </c>
      <c r="E47" s="47" t="s">
        <v>97</v>
      </c>
      <c r="F47" s="32">
        <v>73287831.206041679</v>
      </c>
      <c r="G47" s="32">
        <v>6107319.2671701396</v>
      </c>
      <c r="H47" s="26">
        <f t="shared" si="4"/>
        <v>44</v>
      </c>
      <c r="I47" s="32">
        <v>6770360.0054976866</v>
      </c>
      <c r="J47" s="26">
        <f t="shared" si="5"/>
        <v>41</v>
      </c>
      <c r="K47" s="34">
        <f t="shared" si="3"/>
        <v>-9.7932862918536534E-2</v>
      </c>
      <c r="L47" s="34">
        <f>IFERROR(VLOOKUP(Table2[[#This Row],[CUST-GROUP]],$E$70:$K$88,7,FALSE),0)</f>
        <v>-5.3128670378995491E-2</v>
      </c>
      <c r="M47" s="34">
        <f>IFERROR(VLOOKUP(E47,STM!G:K,4,FALSE),0)/G47-1</f>
        <v>-0.31827466585774389</v>
      </c>
      <c r="N47" s="34">
        <f>IFERROR(VLOOKUP('SUMMARY MT 2026'!$B47,$E$70:$M$88,8,FALSE),0)</f>
        <v>-0.15103723753942244</v>
      </c>
      <c r="O47" s="34">
        <f>IFERROR(VLOOKUP(E47,STM!G:K,5,FALSE),0)/G47-1</f>
        <v>-0.90596129948744009</v>
      </c>
      <c r="P47" s="34">
        <f>IFERROR(VLOOKUP('SUMMARY MT 2026'!$B47,$E$70:$M$88,9,FALSE),0)</f>
        <v>-0.84928342353557995</v>
      </c>
      <c r="Q47" s="34"/>
      <c r="R47" s="34"/>
      <c r="S47" s="34"/>
      <c r="T47" s="34"/>
      <c r="U47" s="34"/>
      <c r="V47" s="34"/>
      <c r="W47" s="34"/>
      <c r="X47" s="34"/>
      <c r="Y47" s="34"/>
      <c r="Z47" s="34"/>
      <c r="AA47" s="34"/>
      <c r="AB47" s="34"/>
      <c r="AC47" s="34"/>
      <c r="AD47" s="34"/>
      <c r="AE47" s="34"/>
      <c r="AF47" s="34"/>
      <c r="AG47" s="34"/>
      <c r="AH47" s="34"/>
      <c r="AI47" s="34"/>
      <c r="AJ47" s="34"/>
      <c r="AK47" s="30">
        <f>IFERROR(VLOOKUP(E47,[1]dashboard_SYAIFUL!$E$4:$AZ$76,47,FALSE),0)</f>
        <v>26</v>
      </c>
      <c r="AL47" s="30">
        <f>IFERROR(VLOOKUP(E47,[1]dashboard_SYAIFUL!$E$4:$AZ$76,48,FALSE),0)</f>
        <v>9</v>
      </c>
      <c r="AM47" s="30">
        <f>IFERROR(VLOOKUP(E47,[1]dashboard_SYAIFUL!$E$4:$BD$76,49,FALSE),0)</f>
        <v>12</v>
      </c>
      <c r="AN47" s="30">
        <f>IFERROR(VLOOKUP(E47,[1]dashboard_SYAIFUL!$E$4:$BD$76,50,FALSE),0)</f>
        <v>23</v>
      </c>
      <c r="AO47" s="30">
        <f>IFERROR(VLOOKUP('SUMMARY MT 2026'!$E47,[1]dashboard_SYAIFUL!$E$4:$CP$76,89,FALSE),0)</f>
        <v>6</v>
      </c>
      <c r="AP47" s="31">
        <f>IFERROR(VLOOKUP('SUMMARY MT 2026'!$E47,[1]dashboard_SYAIFUL!$E$4:$CP$76,90,FALSE),0)</f>
        <v>29</v>
      </c>
      <c r="AQ47" s="30"/>
      <c r="AR47" s="31">
        <f>35-Table2[[#This Row],[PARETO SKU MAR 2026]]</f>
        <v>35</v>
      </c>
      <c r="AS47" s="30"/>
      <c r="AT47" s="31">
        <f>35-Table2[[#This Row],[PARETO SKU MAR 2026]]</f>
        <v>35</v>
      </c>
      <c r="AU47" s="30"/>
      <c r="AV47" s="31">
        <f>35-Table2[[#This Row],[PARETO SKU MAR 2026]]</f>
        <v>35</v>
      </c>
      <c r="AW47" s="30"/>
      <c r="AX47" s="31">
        <f>35-Table2[[#This Row],[PARETO SKU MAR 2026]]</f>
        <v>35</v>
      </c>
      <c r="AY47" s="30"/>
      <c r="AZ47" s="31">
        <f>35-Table2[[#This Row],[PARETO SKU MAR 2026]]</f>
        <v>35</v>
      </c>
      <c r="BA47" s="30"/>
      <c r="BB47" s="31">
        <f>35-Table2[[#This Row],[PARETO SKU MAR 2026]]</f>
        <v>35</v>
      </c>
      <c r="BC47" s="30"/>
      <c r="BD47" s="31">
        <f>35-Table2[[#This Row],[PARETO SKU MAR 2026]]</f>
        <v>35</v>
      </c>
      <c r="BE47" s="30"/>
      <c r="BF47" s="31">
        <f>35-Table2[[#This Row],[PARETO SKU MAR 2026]]</f>
        <v>35</v>
      </c>
      <c r="BG47" s="30"/>
      <c r="BH47" s="31">
        <f>35-Table2[[#This Row],[PARETO SKU MAR 2026]]</f>
        <v>35</v>
      </c>
      <c r="BI47" s="30"/>
      <c r="BJ47" s="31">
        <f>35-Table2[[#This Row],[PARETO SKU MAR 2026]]</f>
        <v>35</v>
      </c>
      <c r="BL47" s="4"/>
    </row>
    <row r="48" spans="2:64" ht="27" customHeight="1" thickBot="1" x14ac:dyDescent="0.5">
      <c r="B48" s="45" t="s">
        <v>138</v>
      </c>
      <c r="C48" s="26">
        <f>RANK(IFERROR(VLOOKUP(Table2[[#This Row],[CUSTNO_DIST]],STM!B:C,2,FALSE),0),STM!$C$5:$C$65,0)</f>
        <v>46</v>
      </c>
      <c r="D48" s="46" t="s">
        <v>90</v>
      </c>
      <c r="E48" s="47" t="s">
        <v>91</v>
      </c>
      <c r="F48" s="32">
        <v>71993419.092187524</v>
      </c>
      <c r="G48" s="32">
        <v>5999451.5910156267</v>
      </c>
      <c r="H48" s="26">
        <f t="shared" si="4"/>
        <v>45</v>
      </c>
      <c r="I48" s="32">
        <v>5245689.5303819487</v>
      </c>
      <c r="J48" s="26">
        <f t="shared" si="5"/>
        <v>45</v>
      </c>
      <c r="K48" s="34">
        <f t="shared" si="3"/>
        <v>0.14369170273384357</v>
      </c>
      <c r="L48" s="34">
        <f>IFERROR(VLOOKUP(Table2[[#This Row],[CUST-GROUP]],$E$70:$K$88,7,FALSE),0)</f>
        <v>4.9144122299097592E-2</v>
      </c>
      <c r="M48" s="34">
        <f>IFERROR(VLOOKUP(E48,STM!G:K,4,FALSE),0)/G48-1</f>
        <v>-0.33759696063073885</v>
      </c>
      <c r="N48" s="34">
        <f>IFERROR(VLOOKUP('SUMMARY MT 2026'!$B48,$E$70:$M$88,8,FALSE),0)</f>
        <v>0.6856309844288877</v>
      </c>
      <c r="O48" s="34">
        <f>IFERROR(VLOOKUP(E48,STM!G:K,5,FALSE),0)/G48-1</f>
        <v>-0.43445265182344506</v>
      </c>
      <c r="P48" s="34">
        <f>IFERROR(VLOOKUP('SUMMARY MT 2026'!$B48,$E$70:$M$88,9,FALSE),0)</f>
        <v>-0.53480502716537437</v>
      </c>
      <c r="Q48" s="34"/>
      <c r="R48" s="34"/>
      <c r="S48" s="34"/>
      <c r="T48" s="34"/>
      <c r="U48" s="34"/>
      <c r="V48" s="34"/>
      <c r="W48" s="34"/>
      <c r="X48" s="34"/>
      <c r="Y48" s="34"/>
      <c r="Z48" s="34"/>
      <c r="AA48" s="34"/>
      <c r="AB48" s="34"/>
      <c r="AC48" s="34"/>
      <c r="AD48" s="34"/>
      <c r="AE48" s="34"/>
      <c r="AF48" s="34"/>
      <c r="AG48" s="34"/>
      <c r="AH48" s="34"/>
      <c r="AI48" s="34"/>
      <c r="AJ48" s="34"/>
      <c r="AK48" s="30">
        <f>IFERROR(VLOOKUP(E48,[1]dashboard_SYAIFUL!$E$4:$AZ$76,47,FALSE),0)</f>
        <v>12</v>
      </c>
      <c r="AL48" s="30">
        <f>IFERROR(VLOOKUP(E48,[1]dashboard_SYAIFUL!$E$4:$AZ$76,48,FALSE),0)</f>
        <v>23</v>
      </c>
      <c r="AM48" s="30">
        <f>IFERROR(VLOOKUP(E48,[1]dashboard_SYAIFUL!$E$4:$BD$76,49,FALSE),0)</f>
        <v>9</v>
      </c>
      <c r="AN48" s="30">
        <f>IFERROR(VLOOKUP(E48,[1]dashboard_SYAIFUL!$E$4:$BD$76,50,FALSE),0)</f>
        <v>26</v>
      </c>
      <c r="AO48" s="30">
        <f>IFERROR(VLOOKUP('SUMMARY MT 2026'!$E48,[1]dashboard_SYAIFUL!$E$4:$CP$76,89,FALSE),0)</f>
        <v>9</v>
      </c>
      <c r="AP48" s="31">
        <f>IFERROR(VLOOKUP('SUMMARY MT 2026'!$E48,[1]dashboard_SYAIFUL!$E$4:$CP$76,90,FALSE),0)</f>
        <v>26</v>
      </c>
      <c r="AQ48" s="30"/>
      <c r="AR48" s="31">
        <f>35-Table2[[#This Row],[PARETO SKU MAR 2026]]</f>
        <v>35</v>
      </c>
      <c r="AS48" s="30"/>
      <c r="AT48" s="31">
        <f>35-Table2[[#This Row],[PARETO SKU MAR 2026]]</f>
        <v>35</v>
      </c>
      <c r="AU48" s="30"/>
      <c r="AV48" s="31">
        <f>35-Table2[[#This Row],[PARETO SKU MAR 2026]]</f>
        <v>35</v>
      </c>
      <c r="AW48" s="30"/>
      <c r="AX48" s="31">
        <f>35-Table2[[#This Row],[PARETO SKU MAR 2026]]</f>
        <v>35</v>
      </c>
      <c r="AY48" s="30"/>
      <c r="AZ48" s="31">
        <f>35-Table2[[#This Row],[PARETO SKU MAR 2026]]</f>
        <v>35</v>
      </c>
      <c r="BA48" s="30"/>
      <c r="BB48" s="31">
        <f>35-Table2[[#This Row],[PARETO SKU MAR 2026]]</f>
        <v>35</v>
      </c>
      <c r="BC48" s="30"/>
      <c r="BD48" s="31">
        <f>35-Table2[[#This Row],[PARETO SKU MAR 2026]]</f>
        <v>35</v>
      </c>
      <c r="BE48" s="30"/>
      <c r="BF48" s="31">
        <f>35-Table2[[#This Row],[PARETO SKU MAR 2026]]</f>
        <v>35</v>
      </c>
      <c r="BG48" s="30"/>
      <c r="BH48" s="31">
        <f>35-Table2[[#This Row],[PARETO SKU MAR 2026]]</f>
        <v>35</v>
      </c>
      <c r="BI48" s="30"/>
      <c r="BJ48" s="31">
        <f>35-Table2[[#This Row],[PARETO SKU MAR 2026]]</f>
        <v>35</v>
      </c>
      <c r="BL48" s="4"/>
    </row>
    <row r="49" spans="2:64" ht="27" customHeight="1" thickBot="1" x14ac:dyDescent="0.5">
      <c r="B49" s="45" t="s">
        <v>141</v>
      </c>
      <c r="C49" s="26">
        <f>RANK(IFERROR(VLOOKUP(Table2[[#This Row],[CUSTNO_DIST]],STM!B:C,2,FALSE),0),STM!$C$5:$C$65,0)</f>
        <v>48</v>
      </c>
      <c r="D49" s="46" t="s">
        <v>94</v>
      </c>
      <c r="E49" s="47" t="s">
        <v>95</v>
      </c>
      <c r="F49" s="32">
        <v>69086649.72270833</v>
      </c>
      <c r="G49" s="32">
        <v>5757220.8102256944</v>
      </c>
      <c r="H49" s="26">
        <f t="shared" si="4"/>
        <v>46</v>
      </c>
      <c r="I49" s="32">
        <v>3554774.3179976852</v>
      </c>
      <c r="J49" s="26">
        <f t="shared" si="5"/>
        <v>49</v>
      </c>
      <c r="K49" s="34">
        <f t="shared" si="3"/>
        <v>0.61957421068254814</v>
      </c>
      <c r="L49" s="34">
        <f>IFERROR(VLOOKUP(Table2[[#This Row],[CUST-GROUP]],$E$70:$K$88,7,FALSE),0)</f>
        <v>0.35823921847321993</v>
      </c>
      <c r="M49" s="34">
        <f>IFERROR(VLOOKUP(E49,STM!G:K,4,FALSE),0)/G49-1</f>
        <v>-0.81269113812959248</v>
      </c>
      <c r="N49" s="34">
        <f>IFERROR(VLOOKUP('SUMMARY MT 2026'!$B49,$E$70:$M$88,8,FALSE),0)</f>
        <v>-0.45732064925112437</v>
      </c>
      <c r="O49" s="34">
        <f>IFERROR(VLOOKUP(E49,STM!G:K,5,FALSE),0)/G49-1</f>
        <v>-0.20724668527025281</v>
      </c>
      <c r="P49" s="34">
        <f>IFERROR(VLOOKUP('SUMMARY MT 2026'!$B49,$E$70:$M$88,9,FALSE),0)</f>
        <v>-0.13244491115437163</v>
      </c>
      <c r="Q49" s="34"/>
      <c r="R49" s="34"/>
      <c r="S49" s="34"/>
      <c r="T49" s="34"/>
      <c r="U49" s="34"/>
      <c r="V49" s="34"/>
      <c r="W49" s="34"/>
      <c r="X49" s="34"/>
      <c r="Y49" s="34"/>
      <c r="Z49" s="34"/>
      <c r="AA49" s="34"/>
      <c r="AB49" s="34"/>
      <c r="AC49" s="34"/>
      <c r="AD49" s="34"/>
      <c r="AE49" s="34"/>
      <c r="AF49" s="34"/>
      <c r="AG49" s="34"/>
      <c r="AH49" s="34"/>
      <c r="AI49" s="34"/>
      <c r="AJ49" s="34"/>
      <c r="AK49" s="30">
        <f>IFERROR(VLOOKUP(E49,[1]dashboard_SYAIFUL!$E$4:$AZ$76,47,FALSE),0)</f>
        <v>21</v>
      </c>
      <c r="AL49" s="30">
        <f>IFERROR(VLOOKUP(E49,[1]dashboard_SYAIFUL!$E$4:$AZ$76,48,FALSE),0)</f>
        <v>14</v>
      </c>
      <c r="AM49" s="30">
        <f>IFERROR(VLOOKUP(E49,[1]dashboard_SYAIFUL!$E$4:$BD$76,49,FALSE),0)</f>
        <v>8</v>
      </c>
      <c r="AN49" s="30">
        <f>IFERROR(VLOOKUP(E49,[1]dashboard_SYAIFUL!$E$4:$BD$76,50,FALSE),0)</f>
        <v>27</v>
      </c>
      <c r="AO49" s="30">
        <f>IFERROR(VLOOKUP('SUMMARY MT 2026'!$E49,[1]dashboard_SYAIFUL!$E$4:$CP$76,89,FALSE),0)</f>
        <v>5</v>
      </c>
      <c r="AP49" s="31">
        <f>IFERROR(VLOOKUP('SUMMARY MT 2026'!$E49,[1]dashboard_SYAIFUL!$E$4:$CP$76,90,FALSE),0)</f>
        <v>30</v>
      </c>
      <c r="AQ49" s="30"/>
      <c r="AR49" s="31">
        <f>35-Table2[[#This Row],[PARETO SKU MAR 2026]]</f>
        <v>35</v>
      </c>
      <c r="AS49" s="30"/>
      <c r="AT49" s="31">
        <f>35-Table2[[#This Row],[PARETO SKU MAR 2026]]</f>
        <v>35</v>
      </c>
      <c r="AU49" s="30"/>
      <c r="AV49" s="31">
        <f>35-Table2[[#This Row],[PARETO SKU MAR 2026]]</f>
        <v>35</v>
      </c>
      <c r="AW49" s="30"/>
      <c r="AX49" s="31">
        <f>35-Table2[[#This Row],[PARETO SKU MAR 2026]]</f>
        <v>35</v>
      </c>
      <c r="AY49" s="30"/>
      <c r="AZ49" s="31">
        <f>35-Table2[[#This Row],[PARETO SKU MAR 2026]]</f>
        <v>35</v>
      </c>
      <c r="BA49" s="30"/>
      <c r="BB49" s="31">
        <f>35-Table2[[#This Row],[PARETO SKU MAR 2026]]</f>
        <v>35</v>
      </c>
      <c r="BC49" s="30"/>
      <c r="BD49" s="31">
        <f>35-Table2[[#This Row],[PARETO SKU MAR 2026]]</f>
        <v>35</v>
      </c>
      <c r="BE49" s="30"/>
      <c r="BF49" s="31">
        <f>35-Table2[[#This Row],[PARETO SKU MAR 2026]]</f>
        <v>35</v>
      </c>
      <c r="BG49" s="30"/>
      <c r="BH49" s="31">
        <f>35-Table2[[#This Row],[PARETO SKU MAR 2026]]</f>
        <v>35</v>
      </c>
      <c r="BI49" s="30"/>
      <c r="BJ49" s="31">
        <f>35-Table2[[#This Row],[PARETO SKU MAR 2026]]</f>
        <v>35</v>
      </c>
      <c r="BL49" s="4"/>
    </row>
    <row r="50" spans="2:64" ht="27" customHeight="1" thickBot="1" x14ac:dyDescent="0.5">
      <c r="B50" s="45" t="s">
        <v>146</v>
      </c>
      <c r="C50" s="26">
        <f>RANK(IFERROR(VLOOKUP(Table2[[#This Row],[CUSTNO_DIST]],STM!B:C,2,FALSE),0),STM!$C$5:$C$65,0)</f>
        <v>44</v>
      </c>
      <c r="D50" s="46" t="s">
        <v>100</v>
      </c>
      <c r="E50" s="47" t="s">
        <v>101</v>
      </c>
      <c r="F50" s="32">
        <v>66952875.308750011</v>
      </c>
      <c r="G50" s="32">
        <v>5579406.2757291673</v>
      </c>
      <c r="H50" s="26">
        <f t="shared" si="4"/>
        <v>47</v>
      </c>
      <c r="I50" s="32">
        <v>2914796.473090278</v>
      </c>
      <c r="J50" s="26">
        <f t="shared" si="5"/>
        <v>51</v>
      </c>
      <c r="K50" s="34">
        <f t="shared" si="3"/>
        <v>0.91416667586874767</v>
      </c>
      <c r="L50" s="34">
        <f>IFERROR(VLOOKUP(Table2[[#This Row],[CUST-GROUP]],$E$70:$K$88,7,FALSE),0)</f>
        <v>0.32882906953660029</v>
      </c>
      <c r="M50" s="34">
        <f>IFERROR(VLOOKUP(E50,STM!G:K,4,FALSE),0)/G50-1</f>
        <v>-0.23299034681952391</v>
      </c>
      <c r="N50" s="34">
        <f>IFERROR(VLOOKUP('SUMMARY MT 2026'!$B50,$E$70:$M$88,8,FALSE),0)</f>
        <v>-0.18155285152426304</v>
      </c>
      <c r="O50" s="34">
        <f>IFERROR(VLOOKUP(E50,STM!G:K,5,FALSE),0)/G50-1</f>
        <v>-8.5633428135993728E-2</v>
      </c>
      <c r="P50" s="34">
        <f>IFERROR(VLOOKUP('SUMMARY MT 2026'!$B50,$E$70:$M$88,9,FALSE),0)</f>
        <v>-0.60746135603376106</v>
      </c>
      <c r="Q50" s="34"/>
      <c r="R50" s="34"/>
      <c r="S50" s="34"/>
      <c r="T50" s="34"/>
      <c r="U50" s="34"/>
      <c r="V50" s="34"/>
      <c r="W50" s="34"/>
      <c r="X50" s="34"/>
      <c r="Y50" s="34"/>
      <c r="Z50" s="34"/>
      <c r="AA50" s="34"/>
      <c r="AB50" s="34"/>
      <c r="AC50" s="34"/>
      <c r="AD50" s="34"/>
      <c r="AE50" s="34"/>
      <c r="AF50" s="34"/>
      <c r="AG50" s="34"/>
      <c r="AH50" s="34"/>
      <c r="AI50" s="34"/>
      <c r="AJ50" s="34"/>
      <c r="AK50" s="30">
        <f>IFERROR(VLOOKUP(E50,[1]dashboard_SYAIFUL!$E$4:$AZ$76,47,FALSE),0)</f>
        <v>14</v>
      </c>
      <c r="AL50" s="30">
        <f>IFERROR(VLOOKUP(E50,[1]dashboard_SYAIFUL!$E$4:$AZ$76,48,FALSE),0)</f>
        <v>21</v>
      </c>
      <c r="AM50" s="30">
        <f>IFERROR(VLOOKUP(E50,[1]dashboard_SYAIFUL!$E$4:$BD$76,49,FALSE),0)</f>
        <v>5</v>
      </c>
      <c r="AN50" s="30">
        <f>IFERROR(VLOOKUP(E50,[1]dashboard_SYAIFUL!$E$4:$BD$76,50,FALSE),0)</f>
        <v>30</v>
      </c>
      <c r="AO50" s="30">
        <f>IFERROR(VLOOKUP('SUMMARY MT 2026'!$E50,[1]dashboard_SYAIFUL!$E$4:$CP$76,89,FALSE),0)</f>
        <v>6</v>
      </c>
      <c r="AP50" s="31">
        <f>IFERROR(VLOOKUP('SUMMARY MT 2026'!$E50,[1]dashboard_SYAIFUL!$E$4:$CP$76,90,FALSE),0)</f>
        <v>29</v>
      </c>
      <c r="AQ50" s="30"/>
      <c r="AR50" s="31">
        <f>35-Table2[[#This Row],[PARETO SKU MAR 2026]]</f>
        <v>35</v>
      </c>
      <c r="AS50" s="30"/>
      <c r="AT50" s="31">
        <f>35-Table2[[#This Row],[PARETO SKU MAR 2026]]</f>
        <v>35</v>
      </c>
      <c r="AU50" s="30"/>
      <c r="AV50" s="31">
        <f>35-Table2[[#This Row],[PARETO SKU MAR 2026]]</f>
        <v>35</v>
      </c>
      <c r="AW50" s="30"/>
      <c r="AX50" s="31">
        <f>35-Table2[[#This Row],[PARETO SKU MAR 2026]]</f>
        <v>35</v>
      </c>
      <c r="AY50" s="30"/>
      <c r="AZ50" s="31">
        <f>35-Table2[[#This Row],[PARETO SKU MAR 2026]]</f>
        <v>35</v>
      </c>
      <c r="BA50" s="30"/>
      <c r="BB50" s="31">
        <f>35-Table2[[#This Row],[PARETO SKU MAR 2026]]</f>
        <v>35</v>
      </c>
      <c r="BC50" s="30"/>
      <c r="BD50" s="31">
        <f>35-Table2[[#This Row],[PARETO SKU MAR 2026]]</f>
        <v>35</v>
      </c>
      <c r="BE50" s="30"/>
      <c r="BF50" s="31">
        <f>35-Table2[[#This Row],[PARETO SKU MAR 2026]]</f>
        <v>35</v>
      </c>
      <c r="BG50" s="30"/>
      <c r="BH50" s="31">
        <f>35-Table2[[#This Row],[PARETO SKU MAR 2026]]</f>
        <v>35</v>
      </c>
      <c r="BI50" s="30"/>
      <c r="BJ50" s="31">
        <f>35-Table2[[#This Row],[PARETO SKU MAR 2026]]</f>
        <v>35</v>
      </c>
      <c r="BL50" s="4"/>
    </row>
    <row r="51" spans="2:64" ht="27" customHeight="1" thickBot="1" x14ac:dyDescent="0.5">
      <c r="B51" s="45" t="s">
        <v>140</v>
      </c>
      <c r="C51" s="26">
        <f>RANK(IFERROR(VLOOKUP(Table2[[#This Row],[CUSTNO_DIST]],STM!B:C,2,FALSE),0),STM!$C$5:$C$65,0)</f>
        <v>49</v>
      </c>
      <c r="D51" s="46" t="s">
        <v>102</v>
      </c>
      <c r="E51" s="47" t="s">
        <v>103</v>
      </c>
      <c r="F51" s="32">
        <v>65571607.062291667</v>
      </c>
      <c r="G51" s="32">
        <v>5464300.5885243053</v>
      </c>
      <c r="H51" s="26">
        <f t="shared" si="4"/>
        <v>48</v>
      </c>
      <c r="I51" s="32">
        <v>3944601.1675347225</v>
      </c>
      <c r="J51" s="26">
        <f t="shared" si="5"/>
        <v>47</v>
      </c>
      <c r="K51" s="34">
        <f t="shared" si="3"/>
        <v>0.38526060213569258</v>
      </c>
      <c r="L51" s="34">
        <f>IFERROR(VLOOKUP(Table2[[#This Row],[CUST-GROUP]],$E$70:$K$88,7,FALSE),0)</f>
        <v>3.5428639582653076E-2</v>
      </c>
      <c r="M51" s="34">
        <f>IFERROR(VLOOKUP(E51,STM!G:K,4,FALSE),0)/G51-1</f>
        <v>-0.52035920276252523</v>
      </c>
      <c r="N51" s="34">
        <f>IFERROR(VLOOKUP('SUMMARY MT 2026'!$B51,$E$70:$M$88,8,FALSE),0)</f>
        <v>-0.15994413784687966</v>
      </c>
      <c r="O51" s="34">
        <f>IFERROR(VLOOKUP(E51,STM!G:K,5,FALSE),0)/G51-1</f>
        <v>-0.5774209738572238</v>
      </c>
      <c r="P51" s="34">
        <f>IFERROR(VLOOKUP('SUMMARY MT 2026'!$B51,$E$70:$M$88,9,FALSE),0)</f>
        <v>-0.14096078160073211</v>
      </c>
      <c r="Q51" s="34"/>
      <c r="R51" s="34"/>
      <c r="S51" s="34"/>
      <c r="T51" s="34"/>
      <c r="U51" s="34"/>
      <c r="V51" s="34"/>
      <c r="W51" s="34"/>
      <c r="X51" s="34"/>
      <c r="Y51" s="34"/>
      <c r="Z51" s="34"/>
      <c r="AA51" s="34"/>
      <c r="AB51" s="34"/>
      <c r="AC51" s="34"/>
      <c r="AD51" s="34"/>
      <c r="AE51" s="34"/>
      <c r="AF51" s="34"/>
      <c r="AG51" s="34"/>
      <c r="AH51" s="34"/>
      <c r="AI51" s="34"/>
      <c r="AJ51" s="34"/>
      <c r="AK51" s="30">
        <f>IFERROR(VLOOKUP(E51,[1]dashboard_SYAIFUL!$E$4:$AZ$76,47,FALSE),0)</f>
        <v>16</v>
      </c>
      <c r="AL51" s="30">
        <f>IFERROR(VLOOKUP(E51,[1]dashboard_SYAIFUL!$E$4:$AZ$76,48,FALSE),0)</f>
        <v>19</v>
      </c>
      <c r="AM51" s="30">
        <f>IFERROR(VLOOKUP(E51,[1]dashboard_SYAIFUL!$E$4:$BD$76,49,FALSE),0)</f>
        <v>9</v>
      </c>
      <c r="AN51" s="30">
        <f>IFERROR(VLOOKUP(E51,[1]dashboard_SYAIFUL!$E$4:$BD$76,50,FALSE),0)</f>
        <v>26</v>
      </c>
      <c r="AO51" s="30">
        <f>IFERROR(VLOOKUP('SUMMARY MT 2026'!$E51,[1]dashboard_SYAIFUL!$E$4:$CP$76,89,FALSE),0)</f>
        <v>6</v>
      </c>
      <c r="AP51" s="31">
        <f>IFERROR(VLOOKUP('SUMMARY MT 2026'!$E51,[1]dashboard_SYAIFUL!$E$4:$CP$76,90,FALSE),0)</f>
        <v>29</v>
      </c>
      <c r="AQ51" s="30"/>
      <c r="AR51" s="31">
        <f>35-Table2[[#This Row],[PARETO SKU MAR 2026]]</f>
        <v>35</v>
      </c>
      <c r="AS51" s="30"/>
      <c r="AT51" s="31">
        <f>35-Table2[[#This Row],[PARETO SKU MAR 2026]]</f>
        <v>35</v>
      </c>
      <c r="AU51" s="30"/>
      <c r="AV51" s="31">
        <f>35-Table2[[#This Row],[PARETO SKU MAR 2026]]</f>
        <v>35</v>
      </c>
      <c r="AW51" s="30"/>
      <c r="AX51" s="31">
        <f>35-Table2[[#This Row],[PARETO SKU MAR 2026]]</f>
        <v>35</v>
      </c>
      <c r="AY51" s="30"/>
      <c r="AZ51" s="31">
        <f>35-Table2[[#This Row],[PARETO SKU MAR 2026]]</f>
        <v>35</v>
      </c>
      <c r="BA51" s="30"/>
      <c r="BB51" s="31">
        <f>35-Table2[[#This Row],[PARETO SKU MAR 2026]]</f>
        <v>35</v>
      </c>
      <c r="BC51" s="30"/>
      <c r="BD51" s="31">
        <f>35-Table2[[#This Row],[PARETO SKU MAR 2026]]</f>
        <v>35</v>
      </c>
      <c r="BE51" s="30"/>
      <c r="BF51" s="31">
        <f>35-Table2[[#This Row],[PARETO SKU MAR 2026]]</f>
        <v>35</v>
      </c>
      <c r="BG51" s="30"/>
      <c r="BH51" s="31">
        <f>35-Table2[[#This Row],[PARETO SKU MAR 2026]]</f>
        <v>35</v>
      </c>
      <c r="BI51" s="30"/>
      <c r="BJ51" s="31">
        <f>35-Table2[[#This Row],[PARETO SKU MAR 2026]]</f>
        <v>35</v>
      </c>
      <c r="BL51" s="4"/>
    </row>
    <row r="52" spans="2:64" ht="27" customHeight="1" thickBot="1" x14ac:dyDescent="0.5">
      <c r="B52" s="45" t="s">
        <v>140</v>
      </c>
      <c r="C52" s="26">
        <f>RANK(IFERROR(VLOOKUP(Table2[[#This Row],[CUSTNO_DIST]],STM!B:C,2,FALSE),0),STM!$C$5:$C$65,0)</f>
        <v>50</v>
      </c>
      <c r="D52" s="46" t="s">
        <v>108</v>
      </c>
      <c r="E52" s="47" t="s">
        <v>109</v>
      </c>
      <c r="F52" s="32">
        <v>58639984.283750005</v>
      </c>
      <c r="G52" s="32">
        <v>4886665.3569791671</v>
      </c>
      <c r="H52" s="26">
        <f t="shared" si="4"/>
        <v>49</v>
      </c>
      <c r="I52" s="32">
        <v>3714248.4965277775</v>
      </c>
      <c r="J52" s="26">
        <f t="shared" si="5"/>
        <v>48</v>
      </c>
      <c r="K52" s="34">
        <f t="shared" si="3"/>
        <v>0.31565385610236096</v>
      </c>
      <c r="L52" s="34">
        <f>IFERROR(VLOOKUP(Table2[[#This Row],[CUST-GROUP]],$E$70:$K$88,7,FALSE),0)</f>
        <v>3.5428639582653076E-2</v>
      </c>
      <c r="M52" s="34">
        <f>IFERROR(VLOOKUP(E52,STM!G:K,4,FALSE),0)/G52-1</f>
        <v>-2.8132785741676325E-2</v>
      </c>
      <c r="N52" s="34">
        <f>IFERROR(VLOOKUP('SUMMARY MT 2026'!$B52,$E$70:$M$88,8,FALSE),0)</f>
        <v>-0.15994413784687966</v>
      </c>
      <c r="O52" s="34">
        <f>IFERROR(VLOOKUP(E52,STM!G:K,5,FALSE),0)/G52-1</f>
        <v>-1</v>
      </c>
      <c r="P52" s="34">
        <f>IFERROR(VLOOKUP('SUMMARY MT 2026'!$B52,$E$70:$M$88,9,FALSE),0)</f>
        <v>-0.14096078160073211</v>
      </c>
      <c r="Q52" s="34"/>
      <c r="R52" s="34"/>
      <c r="S52" s="34"/>
      <c r="T52" s="34"/>
      <c r="U52" s="34"/>
      <c r="V52" s="34"/>
      <c r="W52" s="34"/>
      <c r="X52" s="34"/>
      <c r="Y52" s="34"/>
      <c r="Z52" s="34"/>
      <c r="AA52" s="34"/>
      <c r="AB52" s="34"/>
      <c r="AC52" s="34"/>
      <c r="AD52" s="34"/>
      <c r="AE52" s="34"/>
      <c r="AF52" s="34"/>
      <c r="AG52" s="34"/>
      <c r="AH52" s="34"/>
      <c r="AI52" s="34"/>
      <c r="AJ52" s="34"/>
      <c r="AK52" s="30">
        <f>IFERROR(VLOOKUP(E52,[1]dashboard_SYAIFUL!$E$4:$AZ$76,47,FALSE),0)</f>
        <v>13</v>
      </c>
      <c r="AL52" s="30">
        <f>IFERROR(VLOOKUP(E52,[1]dashboard_SYAIFUL!$E$4:$AZ$76,48,FALSE),0)</f>
        <v>22</v>
      </c>
      <c r="AM52" s="30">
        <f>IFERROR(VLOOKUP(E52,[1]dashboard_SYAIFUL!$E$4:$BD$76,49,FALSE),0)</f>
        <v>4</v>
      </c>
      <c r="AN52" s="30">
        <f>IFERROR(VLOOKUP(E52,[1]dashboard_SYAIFUL!$E$4:$BD$76,50,FALSE),0)</f>
        <v>31</v>
      </c>
      <c r="AO52" s="30">
        <f>IFERROR(VLOOKUP('SUMMARY MT 2026'!$E52,[1]dashboard_SYAIFUL!$E$4:$CP$76,89,FALSE),0)</f>
        <v>0</v>
      </c>
      <c r="AP52" s="31">
        <f>IFERROR(VLOOKUP('SUMMARY MT 2026'!$E52,[1]dashboard_SYAIFUL!$E$4:$CP$76,90,FALSE),0)</f>
        <v>35</v>
      </c>
      <c r="AQ52" s="30"/>
      <c r="AR52" s="31">
        <f>35-Table2[[#This Row],[PARETO SKU MAR 2026]]</f>
        <v>35</v>
      </c>
      <c r="AS52" s="30"/>
      <c r="AT52" s="31">
        <f>35-Table2[[#This Row],[PARETO SKU MAR 2026]]</f>
        <v>35</v>
      </c>
      <c r="AU52" s="30"/>
      <c r="AV52" s="31">
        <f>35-Table2[[#This Row],[PARETO SKU MAR 2026]]</f>
        <v>35</v>
      </c>
      <c r="AW52" s="30"/>
      <c r="AX52" s="31">
        <f>35-Table2[[#This Row],[PARETO SKU MAR 2026]]</f>
        <v>35</v>
      </c>
      <c r="AY52" s="30"/>
      <c r="AZ52" s="31">
        <f>35-Table2[[#This Row],[PARETO SKU MAR 2026]]</f>
        <v>35</v>
      </c>
      <c r="BA52" s="30"/>
      <c r="BB52" s="31">
        <f>35-Table2[[#This Row],[PARETO SKU MAR 2026]]</f>
        <v>35</v>
      </c>
      <c r="BC52" s="30"/>
      <c r="BD52" s="31">
        <f>35-Table2[[#This Row],[PARETO SKU MAR 2026]]</f>
        <v>35</v>
      </c>
      <c r="BE52" s="30"/>
      <c r="BF52" s="31">
        <f>35-Table2[[#This Row],[PARETO SKU MAR 2026]]</f>
        <v>35</v>
      </c>
      <c r="BG52" s="30"/>
      <c r="BH52" s="31">
        <f>35-Table2[[#This Row],[PARETO SKU MAR 2026]]</f>
        <v>35</v>
      </c>
      <c r="BI52" s="30"/>
      <c r="BJ52" s="31">
        <f>35-Table2[[#This Row],[PARETO SKU MAR 2026]]</f>
        <v>35</v>
      </c>
      <c r="BL52" s="4"/>
    </row>
    <row r="53" spans="2:64" ht="27" customHeight="1" thickBot="1" x14ac:dyDescent="0.5">
      <c r="B53" s="45" t="s">
        <v>140</v>
      </c>
      <c r="C53" s="26">
        <f>RANK(IFERROR(VLOOKUP(Table2[[#This Row],[CUSTNO_DIST]],STM!B:C,2,FALSE),0),STM!$C$5:$C$65,0)</f>
        <v>37</v>
      </c>
      <c r="D53" s="46" t="s">
        <v>104</v>
      </c>
      <c r="E53" s="47" t="s">
        <v>105</v>
      </c>
      <c r="F53" s="32">
        <v>52307559.207083337</v>
      </c>
      <c r="G53" s="32">
        <v>4358963.2672569444</v>
      </c>
      <c r="H53" s="26">
        <f t="shared" si="4"/>
        <v>50</v>
      </c>
      <c r="I53" s="32">
        <v>11268621.002025463</v>
      </c>
      <c r="J53" s="26">
        <f t="shared" si="5"/>
        <v>26</v>
      </c>
      <c r="K53" s="34">
        <f t="shared" si="3"/>
        <v>-0.61317686818347616</v>
      </c>
      <c r="L53" s="34">
        <f>IFERROR(VLOOKUP(Table2[[#This Row],[CUST-GROUP]],$E$70:$K$88,7,FALSE),0)</f>
        <v>3.5428639582653076E-2</v>
      </c>
      <c r="M53" s="34">
        <f>IFERROR(VLOOKUP(E53,STM!G:K,4,FALSE),0)/G53-1</f>
        <v>0.30455065174900064</v>
      </c>
      <c r="N53" s="34">
        <f>IFERROR(VLOOKUP('SUMMARY MT 2026'!$B53,$E$70:$M$88,8,FALSE),0)</f>
        <v>-0.15994413784687966</v>
      </c>
      <c r="O53" s="34">
        <f>IFERROR(VLOOKUP(E53,STM!G:K,5,FALSE),0)/G53-1</f>
        <v>0.46650394785792804</v>
      </c>
      <c r="P53" s="34">
        <f>IFERROR(VLOOKUP('SUMMARY MT 2026'!$B53,$E$70:$M$88,9,FALSE),0)</f>
        <v>-0.14096078160073211</v>
      </c>
      <c r="Q53" s="34"/>
      <c r="R53" s="34"/>
      <c r="S53" s="34"/>
      <c r="T53" s="34"/>
      <c r="U53" s="34"/>
      <c r="V53" s="34"/>
      <c r="W53" s="34"/>
      <c r="X53" s="34"/>
      <c r="Y53" s="34"/>
      <c r="Z53" s="34"/>
      <c r="AA53" s="34"/>
      <c r="AB53" s="34"/>
      <c r="AC53" s="34"/>
      <c r="AD53" s="34"/>
      <c r="AE53" s="34"/>
      <c r="AF53" s="34"/>
      <c r="AG53" s="34"/>
      <c r="AH53" s="34"/>
      <c r="AI53" s="34"/>
      <c r="AJ53" s="34"/>
      <c r="AK53" s="30">
        <f>IFERROR(VLOOKUP(E53,[1]dashboard_SYAIFUL!$E$4:$AZ$76,47,FALSE),0)</f>
        <v>10</v>
      </c>
      <c r="AL53" s="30">
        <f>IFERROR(VLOOKUP(E53,[1]dashboard_SYAIFUL!$E$4:$AZ$76,48,FALSE),0)</f>
        <v>25</v>
      </c>
      <c r="AM53" s="30">
        <f>IFERROR(VLOOKUP(E53,[1]dashboard_SYAIFUL!$E$4:$BD$76,49,FALSE),0)</f>
        <v>5</v>
      </c>
      <c r="AN53" s="30">
        <f>IFERROR(VLOOKUP(E53,[1]dashboard_SYAIFUL!$E$4:$BD$76,50,FALSE),0)</f>
        <v>30</v>
      </c>
      <c r="AO53" s="30">
        <f>IFERROR(VLOOKUP('SUMMARY MT 2026'!$E53,[1]dashboard_SYAIFUL!$E$4:$CP$76,89,FALSE),0)</f>
        <v>4</v>
      </c>
      <c r="AP53" s="31">
        <f>IFERROR(VLOOKUP('SUMMARY MT 2026'!$E53,[1]dashboard_SYAIFUL!$E$4:$CP$76,90,FALSE),0)</f>
        <v>31</v>
      </c>
      <c r="AQ53" s="30"/>
      <c r="AR53" s="31">
        <f>35-Table2[[#This Row],[PARETO SKU MAR 2026]]</f>
        <v>35</v>
      </c>
      <c r="AS53" s="30"/>
      <c r="AT53" s="31">
        <f>35-Table2[[#This Row],[PARETO SKU MAR 2026]]</f>
        <v>35</v>
      </c>
      <c r="AU53" s="30"/>
      <c r="AV53" s="31">
        <f>35-Table2[[#This Row],[PARETO SKU MAR 2026]]</f>
        <v>35</v>
      </c>
      <c r="AW53" s="30"/>
      <c r="AX53" s="31">
        <f>35-Table2[[#This Row],[PARETO SKU MAR 2026]]</f>
        <v>35</v>
      </c>
      <c r="AY53" s="30"/>
      <c r="AZ53" s="31">
        <f>35-Table2[[#This Row],[PARETO SKU MAR 2026]]</f>
        <v>35</v>
      </c>
      <c r="BA53" s="30"/>
      <c r="BB53" s="31">
        <f>35-Table2[[#This Row],[PARETO SKU MAR 2026]]</f>
        <v>35</v>
      </c>
      <c r="BC53" s="30"/>
      <c r="BD53" s="31">
        <f>35-Table2[[#This Row],[PARETO SKU MAR 2026]]</f>
        <v>35</v>
      </c>
      <c r="BE53" s="30"/>
      <c r="BF53" s="31">
        <f>35-Table2[[#This Row],[PARETO SKU MAR 2026]]</f>
        <v>35</v>
      </c>
      <c r="BG53" s="30"/>
      <c r="BH53" s="31">
        <f>35-Table2[[#This Row],[PARETO SKU MAR 2026]]</f>
        <v>35</v>
      </c>
      <c r="BI53" s="30"/>
      <c r="BJ53" s="31">
        <f>35-Table2[[#This Row],[PARETO SKU MAR 2026]]</f>
        <v>35</v>
      </c>
      <c r="BL53" s="4"/>
    </row>
    <row r="54" spans="2:64" ht="27" customHeight="1" thickBot="1" x14ac:dyDescent="0.5">
      <c r="B54" s="45" t="s">
        <v>133</v>
      </c>
      <c r="C54" s="26">
        <f>RANK(IFERROR(VLOOKUP(Table2[[#This Row],[CUSTNO_DIST]],STM!B:C,2,FALSE),0),STM!$C$5:$C$65,0)</f>
        <v>52</v>
      </c>
      <c r="D54" s="46" t="s">
        <v>106</v>
      </c>
      <c r="E54" s="47" t="s">
        <v>107</v>
      </c>
      <c r="F54" s="32">
        <v>50066668.323125005</v>
      </c>
      <c r="G54" s="32">
        <v>4172222.3602604172</v>
      </c>
      <c r="H54" s="26">
        <f t="shared" si="4"/>
        <v>51</v>
      </c>
      <c r="I54" s="32">
        <v>3457319.503472222</v>
      </c>
      <c r="J54" s="26">
        <f t="shared" si="5"/>
        <v>50</v>
      </c>
      <c r="K54" s="34">
        <f t="shared" si="3"/>
        <v>0.20677951692639662</v>
      </c>
      <c r="L54" s="34">
        <f>IFERROR(VLOOKUP(Table2[[#This Row],[CUST-GROUP]],$E$70:$K$88,7,FALSE),0)</f>
        <v>0.20819267436989897</v>
      </c>
      <c r="M54" s="34">
        <f>IFERROR(VLOOKUP(E54,STM!G:K,4,FALSE),0)/G54-1</f>
        <v>-0.39503351077766569</v>
      </c>
      <c r="N54" s="34">
        <f>IFERROR(VLOOKUP('SUMMARY MT 2026'!$B54,$E$70:$M$88,8,FALSE),0)</f>
        <v>0.23890658941664045</v>
      </c>
      <c r="O54" s="34">
        <f>IFERROR(VLOOKUP(E54,STM!G:K,5,FALSE),0)/G54-1</f>
        <v>-0.61657597348786808</v>
      </c>
      <c r="P54" s="34">
        <f>IFERROR(VLOOKUP('SUMMARY MT 2026'!$B54,$E$70:$M$88,9,FALSE),0)</f>
        <v>-0.33936199861588745</v>
      </c>
      <c r="Q54" s="34"/>
      <c r="R54" s="34"/>
      <c r="S54" s="34"/>
      <c r="T54" s="34"/>
      <c r="U54" s="34"/>
      <c r="V54" s="34"/>
      <c r="W54" s="34"/>
      <c r="X54" s="34"/>
      <c r="Y54" s="34"/>
      <c r="Z54" s="34"/>
      <c r="AA54" s="34"/>
      <c r="AB54" s="34"/>
      <c r="AC54" s="34"/>
      <c r="AD54" s="34"/>
      <c r="AE54" s="34"/>
      <c r="AF54" s="34"/>
      <c r="AG54" s="34"/>
      <c r="AH54" s="34"/>
      <c r="AI54" s="34"/>
      <c r="AJ54" s="34"/>
      <c r="AK54" s="30">
        <f>IFERROR(VLOOKUP(E54,[1]dashboard_SYAIFUL!$E$4:$AZ$76,47,FALSE),0)</f>
        <v>12</v>
      </c>
      <c r="AL54" s="30">
        <f>IFERROR(VLOOKUP(E54,[1]dashboard_SYAIFUL!$E$4:$AZ$76,48,FALSE),0)</f>
        <v>23</v>
      </c>
      <c r="AM54" s="30">
        <f>IFERROR(VLOOKUP(E54,[1]dashboard_SYAIFUL!$E$4:$BD$76,49,FALSE),0)</f>
        <v>7</v>
      </c>
      <c r="AN54" s="30">
        <f>IFERROR(VLOOKUP(E54,[1]dashboard_SYAIFUL!$E$4:$BD$76,50,FALSE),0)</f>
        <v>28</v>
      </c>
      <c r="AO54" s="30">
        <f>IFERROR(VLOOKUP('SUMMARY MT 2026'!$E54,[1]dashboard_SYAIFUL!$E$4:$CP$76,89,FALSE),0)</f>
        <v>4</v>
      </c>
      <c r="AP54" s="31">
        <f>IFERROR(VLOOKUP('SUMMARY MT 2026'!$E54,[1]dashboard_SYAIFUL!$E$4:$CP$76,90,FALSE),0)</f>
        <v>31</v>
      </c>
      <c r="AQ54" s="30"/>
      <c r="AR54" s="31">
        <f>35-Table2[[#This Row],[PARETO SKU MAR 2026]]</f>
        <v>35</v>
      </c>
      <c r="AS54" s="30"/>
      <c r="AT54" s="31">
        <f>35-Table2[[#This Row],[PARETO SKU MAR 2026]]</f>
        <v>35</v>
      </c>
      <c r="AU54" s="30"/>
      <c r="AV54" s="31">
        <f>35-Table2[[#This Row],[PARETO SKU MAR 2026]]</f>
        <v>35</v>
      </c>
      <c r="AW54" s="30"/>
      <c r="AX54" s="31">
        <f>35-Table2[[#This Row],[PARETO SKU MAR 2026]]</f>
        <v>35</v>
      </c>
      <c r="AY54" s="30"/>
      <c r="AZ54" s="31">
        <f>35-Table2[[#This Row],[PARETO SKU MAR 2026]]</f>
        <v>35</v>
      </c>
      <c r="BA54" s="30"/>
      <c r="BB54" s="31">
        <f>35-Table2[[#This Row],[PARETO SKU MAR 2026]]</f>
        <v>35</v>
      </c>
      <c r="BC54" s="30"/>
      <c r="BD54" s="31">
        <f>35-Table2[[#This Row],[PARETO SKU MAR 2026]]</f>
        <v>35</v>
      </c>
      <c r="BE54" s="30"/>
      <c r="BF54" s="31">
        <f>35-Table2[[#This Row],[PARETO SKU MAR 2026]]</f>
        <v>35</v>
      </c>
      <c r="BG54" s="30"/>
      <c r="BH54" s="31">
        <f>35-Table2[[#This Row],[PARETO SKU MAR 2026]]</f>
        <v>35</v>
      </c>
      <c r="BI54" s="30"/>
      <c r="BJ54" s="31">
        <f>35-Table2[[#This Row],[PARETO SKU MAR 2026]]</f>
        <v>35</v>
      </c>
      <c r="BL54" s="4"/>
    </row>
    <row r="55" spans="2:64" ht="27" customHeight="1" thickBot="1" x14ac:dyDescent="0.5">
      <c r="B55" s="45" t="s">
        <v>140</v>
      </c>
      <c r="C55" s="26">
        <f>RANK(IFERROR(VLOOKUP(Table2[[#This Row],[CUSTNO_DIST]],STM!B:C,2,FALSE),0),STM!$C$5:$C$65,0)</f>
        <v>59</v>
      </c>
      <c r="D55" s="46" t="s">
        <v>110</v>
      </c>
      <c r="E55" s="47" t="s">
        <v>111</v>
      </c>
      <c r="F55" s="32">
        <v>45135039.988124996</v>
      </c>
      <c r="G55" s="32">
        <v>3761253.3323437497</v>
      </c>
      <c r="H55" s="26">
        <f t="shared" si="4"/>
        <v>52</v>
      </c>
      <c r="I55" s="32">
        <v>1745607.642361111</v>
      </c>
      <c r="J55" s="26">
        <f t="shared" si="5"/>
        <v>54</v>
      </c>
      <c r="K55" s="34">
        <f t="shared" si="3"/>
        <v>1.154695729480351</v>
      </c>
      <c r="L55" s="34">
        <f>IFERROR(VLOOKUP(Table2[[#This Row],[CUST-GROUP]],$E$70:$K$88,7,FALSE),0)</f>
        <v>3.5428639582653076E-2</v>
      </c>
      <c r="M55" s="34">
        <f>IFERROR(VLOOKUP(E55,STM!G:K,4,FALSE),0)/G55-1</f>
        <v>-0.83487393293634238</v>
      </c>
      <c r="N55" s="34">
        <f>IFERROR(VLOOKUP('SUMMARY MT 2026'!$B55,$E$70:$M$88,8,FALSE),0)</f>
        <v>-0.15994413784687966</v>
      </c>
      <c r="O55" s="34">
        <f>IFERROR(VLOOKUP(E55,STM!G:K,5,FALSE),0)/G55-1</f>
        <v>-1</v>
      </c>
      <c r="P55" s="34">
        <f>IFERROR(VLOOKUP('SUMMARY MT 2026'!$B55,$E$70:$M$88,9,FALSE),0)</f>
        <v>-0.14096078160073211</v>
      </c>
      <c r="Q55" s="34"/>
      <c r="R55" s="34"/>
      <c r="S55" s="34"/>
      <c r="T55" s="34"/>
      <c r="U55" s="34"/>
      <c r="V55" s="34"/>
      <c r="W55" s="34"/>
      <c r="X55" s="34"/>
      <c r="Y55" s="34"/>
      <c r="Z55" s="34"/>
      <c r="AA55" s="34"/>
      <c r="AB55" s="34"/>
      <c r="AC55" s="34"/>
      <c r="AD55" s="34"/>
      <c r="AE55" s="34"/>
      <c r="AF55" s="34"/>
      <c r="AG55" s="34"/>
      <c r="AH55" s="34"/>
      <c r="AI55" s="34"/>
      <c r="AJ55" s="34"/>
      <c r="AK55" s="30">
        <f>IFERROR(VLOOKUP(E55,[1]dashboard_SYAIFUL!$E$4:$AZ$76,47,FALSE),0)</f>
        <v>14</v>
      </c>
      <c r="AL55" s="30">
        <f>IFERROR(VLOOKUP(E55,[1]dashboard_SYAIFUL!$E$4:$AZ$76,48,FALSE),0)</f>
        <v>21</v>
      </c>
      <c r="AM55" s="30">
        <f>IFERROR(VLOOKUP(E55,[1]dashboard_SYAIFUL!$E$4:$BD$76,49,FALSE),0)</f>
        <v>1</v>
      </c>
      <c r="AN55" s="30">
        <f>IFERROR(VLOOKUP(E55,[1]dashboard_SYAIFUL!$E$4:$BD$76,50,FALSE),0)</f>
        <v>34</v>
      </c>
      <c r="AO55" s="30">
        <f>IFERROR(VLOOKUP('SUMMARY MT 2026'!$E55,[1]dashboard_SYAIFUL!$E$4:$CP$76,89,FALSE),0)</f>
        <v>0</v>
      </c>
      <c r="AP55" s="31">
        <f>IFERROR(VLOOKUP('SUMMARY MT 2026'!$E55,[1]dashboard_SYAIFUL!$E$4:$CP$76,90,FALSE),0)</f>
        <v>35</v>
      </c>
      <c r="AQ55" s="30"/>
      <c r="AR55" s="31">
        <f>35-Table2[[#This Row],[PARETO SKU MAR 2026]]</f>
        <v>35</v>
      </c>
      <c r="AS55" s="30"/>
      <c r="AT55" s="31">
        <f>35-Table2[[#This Row],[PARETO SKU MAR 2026]]</f>
        <v>35</v>
      </c>
      <c r="AU55" s="30"/>
      <c r="AV55" s="31">
        <f>35-Table2[[#This Row],[PARETO SKU MAR 2026]]</f>
        <v>35</v>
      </c>
      <c r="AW55" s="30"/>
      <c r="AX55" s="31">
        <f>35-Table2[[#This Row],[PARETO SKU MAR 2026]]</f>
        <v>35</v>
      </c>
      <c r="AY55" s="30"/>
      <c r="AZ55" s="31">
        <f>35-Table2[[#This Row],[PARETO SKU MAR 2026]]</f>
        <v>35</v>
      </c>
      <c r="BA55" s="30"/>
      <c r="BB55" s="31">
        <f>35-Table2[[#This Row],[PARETO SKU MAR 2026]]</f>
        <v>35</v>
      </c>
      <c r="BC55" s="30"/>
      <c r="BD55" s="31">
        <f>35-Table2[[#This Row],[PARETO SKU MAR 2026]]</f>
        <v>35</v>
      </c>
      <c r="BE55" s="30"/>
      <c r="BF55" s="31">
        <f>35-Table2[[#This Row],[PARETO SKU MAR 2026]]</f>
        <v>35</v>
      </c>
      <c r="BG55" s="30"/>
      <c r="BH55" s="31">
        <f>35-Table2[[#This Row],[PARETO SKU MAR 2026]]</f>
        <v>35</v>
      </c>
      <c r="BI55" s="30"/>
      <c r="BJ55" s="31">
        <f>35-Table2[[#This Row],[PARETO SKU MAR 2026]]</f>
        <v>35</v>
      </c>
      <c r="BL55" s="4"/>
    </row>
    <row r="56" spans="2:64" ht="27" customHeight="1" thickBot="1" x14ac:dyDescent="0.5">
      <c r="B56" s="45" t="s">
        <v>137</v>
      </c>
      <c r="C56" s="26">
        <f>RANK(IFERROR(VLOOKUP(Table2[[#This Row],[CUSTNO_DIST]],STM!B:C,2,FALSE),0),STM!$C$5:$C$65,0)</f>
        <v>25</v>
      </c>
      <c r="D56" s="46" t="s">
        <v>128</v>
      </c>
      <c r="E56" s="47" t="s">
        <v>129</v>
      </c>
      <c r="F56" s="32">
        <v>42449178.423750035</v>
      </c>
      <c r="G56" s="32">
        <v>3537431.5353125031</v>
      </c>
      <c r="H56" s="26">
        <f t="shared" si="4"/>
        <v>53</v>
      </c>
      <c r="I56" s="32">
        <v>0</v>
      </c>
      <c r="J56" s="26">
        <f t="shared" si="5"/>
        <v>58</v>
      </c>
      <c r="K56" s="34">
        <f>IFERROR(G56/I56-1,1)</f>
        <v>1</v>
      </c>
      <c r="L56" s="34">
        <f>IFERROR(VLOOKUP(Table2[[#This Row],[CUST-GROUP]],$E$70:$K$88,7,FALSE),0)</f>
        <v>0.31105346786620669</v>
      </c>
      <c r="M56" s="34">
        <f>IFERROR(VLOOKUP(E56,STM!G:K,4,FALSE),0)/G56-1</f>
        <v>1.4923910830228371</v>
      </c>
      <c r="N56" s="34">
        <f>IFERROR(VLOOKUP('SUMMARY MT 2026'!$B56,$E$70:$M$88,8,FALSE),0)</f>
        <v>-0.20246099853772914</v>
      </c>
      <c r="O56" s="34">
        <f>IFERROR(VLOOKUP(E56,STM!G:K,5,FALSE),0)/G56-1</f>
        <v>3.1191639785581735</v>
      </c>
      <c r="P56" s="34">
        <f>IFERROR(VLOOKUP('SUMMARY MT 2026'!$B56,$E$70:$M$88,9,FALSE),0)</f>
        <v>-0.48667136440256498</v>
      </c>
      <c r="Q56" s="34"/>
      <c r="R56" s="34"/>
      <c r="S56" s="34"/>
      <c r="T56" s="34"/>
      <c r="U56" s="34"/>
      <c r="V56" s="34"/>
      <c r="W56" s="34"/>
      <c r="X56" s="34"/>
      <c r="Y56" s="34"/>
      <c r="Z56" s="34"/>
      <c r="AA56" s="34"/>
      <c r="AB56" s="34"/>
      <c r="AC56" s="34"/>
      <c r="AD56" s="34"/>
      <c r="AE56" s="34"/>
      <c r="AF56" s="34"/>
      <c r="AG56" s="34"/>
      <c r="AH56" s="34"/>
      <c r="AI56" s="34"/>
      <c r="AJ56" s="34"/>
      <c r="AK56" s="30">
        <f>IFERROR(VLOOKUP(E56,[1]dashboard_SYAIFUL!$E$4:$AZ$76,47,FALSE),0)</f>
        <v>21</v>
      </c>
      <c r="AL56" s="30">
        <f>IFERROR(VLOOKUP(E56,[1]dashboard_SYAIFUL!$E$4:$AZ$76,48,FALSE),0)</f>
        <v>14</v>
      </c>
      <c r="AM56" s="30">
        <f>IFERROR(VLOOKUP(E56,[1]dashboard_SYAIFUL!$E$4:$BD$76,49,FALSE),0)</f>
        <v>13</v>
      </c>
      <c r="AN56" s="30">
        <f>IFERROR(VLOOKUP(E56,[1]dashboard_SYAIFUL!$E$4:$BD$76,50,FALSE),0)</f>
        <v>22</v>
      </c>
      <c r="AO56" s="30">
        <f>IFERROR(VLOOKUP('SUMMARY MT 2026'!$E56,[1]dashboard_SYAIFUL!$E$4:$CP$76,89,FALSE),0)</f>
        <v>17</v>
      </c>
      <c r="AP56" s="31">
        <f>IFERROR(VLOOKUP('SUMMARY MT 2026'!$E56,[1]dashboard_SYAIFUL!$E$4:$CP$76,90,FALSE),0)</f>
        <v>18</v>
      </c>
      <c r="AQ56" s="30"/>
      <c r="AR56" s="31">
        <f>35-Table2[[#This Row],[PARETO SKU MAR 2026]]</f>
        <v>35</v>
      </c>
      <c r="AS56" s="30"/>
      <c r="AT56" s="31">
        <f>35-Table2[[#This Row],[PARETO SKU MAR 2026]]</f>
        <v>35</v>
      </c>
      <c r="AU56" s="30"/>
      <c r="AV56" s="31">
        <f>35-Table2[[#This Row],[PARETO SKU MAR 2026]]</f>
        <v>35</v>
      </c>
      <c r="AW56" s="30"/>
      <c r="AX56" s="31">
        <f>35-Table2[[#This Row],[PARETO SKU MAR 2026]]</f>
        <v>35</v>
      </c>
      <c r="AY56" s="30"/>
      <c r="AZ56" s="31">
        <f>35-Table2[[#This Row],[PARETO SKU MAR 2026]]</f>
        <v>35</v>
      </c>
      <c r="BA56" s="30"/>
      <c r="BB56" s="31">
        <f>35-Table2[[#This Row],[PARETO SKU MAR 2026]]</f>
        <v>35</v>
      </c>
      <c r="BC56" s="30"/>
      <c r="BD56" s="31">
        <f>35-Table2[[#This Row],[PARETO SKU MAR 2026]]</f>
        <v>35</v>
      </c>
      <c r="BE56" s="30"/>
      <c r="BF56" s="31">
        <f>35-Table2[[#This Row],[PARETO SKU MAR 2026]]</f>
        <v>35</v>
      </c>
      <c r="BG56" s="30"/>
      <c r="BH56" s="31">
        <f>35-Table2[[#This Row],[PARETO SKU MAR 2026]]</f>
        <v>35</v>
      </c>
      <c r="BI56" s="30"/>
      <c r="BJ56" s="31">
        <f>35-Table2[[#This Row],[PARETO SKU MAR 2026]]</f>
        <v>35</v>
      </c>
      <c r="BL56" s="4"/>
    </row>
    <row r="57" spans="2:64" ht="27" customHeight="1" thickBot="1" x14ac:dyDescent="0.5">
      <c r="B57" s="45" t="s">
        <v>147</v>
      </c>
      <c r="C57" s="26">
        <f>RANK(IFERROR(VLOOKUP(Table2[[#This Row],[CUSTNO_DIST]],STM!B:C,2,FALSE),0),STM!$C$5:$C$65,0)</f>
        <v>54</v>
      </c>
      <c r="D57" s="46" t="s">
        <v>114</v>
      </c>
      <c r="E57" s="47" t="s">
        <v>115</v>
      </c>
      <c r="F57" s="32">
        <v>29163422.146875009</v>
      </c>
      <c r="G57" s="32">
        <v>2430285.1789062507</v>
      </c>
      <c r="H57" s="26">
        <f t="shared" si="4"/>
        <v>54</v>
      </c>
      <c r="I57" s="32">
        <v>2622409.4062500005</v>
      </c>
      <c r="J57" s="26">
        <f t="shared" si="5"/>
        <v>52</v>
      </c>
      <c r="K57" s="34">
        <f>IFERROR(G57/I57-1," ")</f>
        <v>-7.326248406746072E-2</v>
      </c>
      <c r="L57" s="34">
        <f>IFERROR(VLOOKUP(Table2[[#This Row],[CUST-GROUP]],$E$70:$K$88,7,FALSE),0)</f>
        <v>-0.1059355584334789</v>
      </c>
      <c r="M57" s="34">
        <f>IFERROR(VLOOKUP(E57,STM!G:K,4,FALSE),0)/G57-1</f>
        <v>-0.11488528583858326</v>
      </c>
      <c r="N57" s="34">
        <f>IFERROR(VLOOKUP('SUMMARY MT 2026'!$B57,$E$70:$M$88,8,FALSE),0)</f>
        <v>0.48461473864101223</v>
      </c>
      <c r="O57" s="34">
        <f>IFERROR(VLOOKUP(E57,STM!G:K,5,FALSE),0)/G57-1</f>
        <v>-0.51935328098996714</v>
      </c>
      <c r="P57" s="34">
        <f>IFERROR(VLOOKUP('SUMMARY MT 2026'!$B57,$E$70:$M$88,9,FALSE),0)</f>
        <v>-0.12003957803341569</v>
      </c>
      <c r="Q57" s="34"/>
      <c r="R57" s="34"/>
      <c r="S57" s="34"/>
      <c r="T57" s="34"/>
      <c r="U57" s="34"/>
      <c r="V57" s="34"/>
      <c r="W57" s="34"/>
      <c r="X57" s="34"/>
      <c r="Y57" s="34"/>
      <c r="Z57" s="34"/>
      <c r="AA57" s="34"/>
      <c r="AB57" s="34"/>
      <c r="AC57" s="34"/>
      <c r="AD57" s="34"/>
      <c r="AE57" s="34"/>
      <c r="AF57" s="34"/>
      <c r="AG57" s="34"/>
      <c r="AH57" s="34"/>
      <c r="AI57" s="34"/>
      <c r="AJ57" s="34"/>
      <c r="AK57" s="30">
        <f>IFERROR(VLOOKUP(E57,[1]dashboard_SYAIFUL!$E$4:$AZ$76,47,FALSE),0)</f>
        <v>11</v>
      </c>
      <c r="AL57" s="30">
        <f>IFERROR(VLOOKUP(E57,[1]dashboard_SYAIFUL!$E$4:$AZ$76,48,FALSE),0)</f>
        <v>24</v>
      </c>
      <c r="AM57" s="30">
        <f>IFERROR(VLOOKUP(E57,[1]dashboard_SYAIFUL!$E$4:$BD$76,49,FALSE),0)</f>
        <v>5</v>
      </c>
      <c r="AN57" s="30">
        <f>IFERROR(VLOOKUP(E57,[1]dashboard_SYAIFUL!$E$4:$BD$76,50,FALSE),0)</f>
        <v>30</v>
      </c>
      <c r="AO57" s="30">
        <f>IFERROR(VLOOKUP('SUMMARY MT 2026'!$E57,[1]dashboard_SYAIFUL!$E$4:$CP$76,89,FALSE),0)</f>
        <v>6</v>
      </c>
      <c r="AP57" s="31">
        <f>IFERROR(VLOOKUP('SUMMARY MT 2026'!$E57,[1]dashboard_SYAIFUL!$E$4:$CP$76,90,FALSE),0)</f>
        <v>29</v>
      </c>
      <c r="AQ57" s="30"/>
      <c r="AR57" s="31">
        <f>35-Table2[[#This Row],[PARETO SKU MAR 2026]]</f>
        <v>35</v>
      </c>
      <c r="AS57" s="30"/>
      <c r="AT57" s="31">
        <f>35-Table2[[#This Row],[PARETO SKU MAR 2026]]</f>
        <v>35</v>
      </c>
      <c r="AU57" s="30"/>
      <c r="AV57" s="31">
        <f>35-Table2[[#This Row],[PARETO SKU MAR 2026]]</f>
        <v>35</v>
      </c>
      <c r="AW57" s="30"/>
      <c r="AX57" s="31">
        <f>35-Table2[[#This Row],[PARETO SKU MAR 2026]]</f>
        <v>35</v>
      </c>
      <c r="AY57" s="30"/>
      <c r="AZ57" s="31">
        <f>35-Table2[[#This Row],[PARETO SKU MAR 2026]]</f>
        <v>35</v>
      </c>
      <c r="BA57" s="30"/>
      <c r="BB57" s="31">
        <f>35-Table2[[#This Row],[PARETO SKU MAR 2026]]</f>
        <v>35</v>
      </c>
      <c r="BC57" s="30"/>
      <c r="BD57" s="31">
        <f>35-Table2[[#This Row],[PARETO SKU MAR 2026]]</f>
        <v>35</v>
      </c>
      <c r="BE57" s="30"/>
      <c r="BF57" s="31">
        <f>35-Table2[[#This Row],[PARETO SKU MAR 2026]]</f>
        <v>35</v>
      </c>
      <c r="BG57" s="30"/>
      <c r="BH57" s="31">
        <f>35-Table2[[#This Row],[PARETO SKU MAR 2026]]</f>
        <v>35</v>
      </c>
      <c r="BI57" s="30"/>
      <c r="BJ57" s="31">
        <f>35-Table2[[#This Row],[PARETO SKU MAR 2026]]</f>
        <v>35</v>
      </c>
      <c r="BL57" s="4"/>
    </row>
    <row r="58" spans="2:64" ht="27" customHeight="1" thickBot="1" x14ac:dyDescent="0.5">
      <c r="B58" s="45" t="s">
        <v>147</v>
      </c>
      <c r="C58" s="26">
        <f>RANK(IFERROR(VLOOKUP(Table2[[#This Row],[CUSTNO_DIST]],STM!B:C,2,FALSE),0),STM!$C$5:$C$65,0)</f>
        <v>56</v>
      </c>
      <c r="D58" s="46" t="s">
        <v>112</v>
      </c>
      <c r="E58" s="47" t="s">
        <v>113</v>
      </c>
      <c r="F58" s="32">
        <v>27185267.390625007</v>
      </c>
      <c r="G58" s="32">
        <v>2265438.9492187505</v>
      </c>
      <c r="H58" s="26">
        <f t="shared" si="4"/>
        <v>55</v>
      </c>
      <c r="I58" s="32">
        <v>0</v>
      </c>
      <c r="J58" s="26">
        <f t="shared" si="5"/>
        <v>58</v>
      </c>
      <c r="K58" s="34">
        <f>IFERROR(G58/I58-1,1)</f>
        <v>1</v>
      </c>
      <c r="L58" s="34">
        <f>IFERROR(VLOOKUP(Table2[[#This Row],[CUST-GROUP]],$E$70:$K$88,7,FALSE),0)</f>
        <v>-0.1059355584334789</v>
      </c>
      <c r="M58" s="34">
        <f>IFERROR(VLOOKUP(E58,STM!G:K,4,FALSE),0)/G58-1</f>
        <v>-0.13697257680493247</v>
      </c>
      <c r="N58" s="34">
        <f>IFERROR(VLOOKUP('SUMMARY MT 2026'!$B58,$E$70:$M$88,8,FALSE),0)</f>
        <v>0.48461473864101223</v>
      </c>
      <c r="O58" s="34">
        <f>IFERROR(VLOOKUP(E58,STM!G:K,5,FALSE),0)/G58-1</f>
        <v>-1</v>
      </c>
      <c r="P58" s="34">
        <f>IFERROR(VLOOKUP('SUMMARY MT 2026'!$B58,$E$70:$M$88,9,FALSE),0)</f>
        <v>-0.12003957803341569</v>
      </c>
      <c r="Q58" s="34"/>
      <c r="R58" s="34"/>
      <c r="S58" s="34"/>
      <c r="T58" s="34"/>
      <c r="U58" s="34"/>
      <c r="V58" s="34"/>
      <c r="W58" s="34"/>
      <c r="X58" s="34"/>
      <c r="Y58" s="34"/>
      <c r="Z58" s="34"/>
      <c r="AA58" s="34"/>
      <c r="AB58" s="34"/>
      <c r="AC58" s="34"/>
      <c r="AD58" s="34"/>
      <c r="AE58" s="34"/>
      <c r="AF58" s="34"/>
      <c r="AG58" s="34"/>
      <c r="AH58" s="34"/>
      <c r="AI58" s="34"/>
      <c r="AJ58" s="34"/>
      <c r="AK58" s="30">
        <f>IFERROR(VLOOKUP(E58,[1]dashboard_SYAIFUL!$E$4:$AZ$76,47,FALSE),0)</f>
        <v>15</v>
      </c>
      <c r="AL58" s="30">
        <f>IFERROR(VLOOKUP(E58,[1]dashboard_SYAIFUL!$E$4:$AZ$76,48,FALSE),0)</f>
        <v>20</v>
      </c>
      <c r="AM58" s="30">
        <f>IFERROR(VLOOKUP(E58,[1]dashboard_SYAIFUL!$E$4:$BD$76,49,FALSE),0)</f>
        <v>6</v>
      </c>
      <c r="AN58" s="30">
        <f>IFERROR(VLOOKUP(E58,[1]dashboard_SYAIFUL!$E$4:$BD$76,50,FALSE),0)</f>
        <v>29</v>
      </c>
      <c r="AO58" s="30">
        <f>IFERROR(VLOOKUP('SUMMARY MT 2026'!$E58,[1]dashboard_SYAIFUL!$E$4:$CP$76,89,FALSE),0)</f>
        <v>0</v>
      </c>
      <c r="AP58" s="31">
        <f>IFERROR(VLOOKUP('SUMMARY MT 2026'!$E58,[1]dashboard_SYAIFUL!$E$4:$CP$76,90,FALSE),0)</f>
        <v>35</v>
      </c>
      <c r="AQ58" s="30"/>
      <c r="AR58" s="31">
        <f>35-Table2[[#This Row],[PARETO SKU MAR 2026]]</f>
        <v>35</v>
      </c>
      <c r="AS58" s="30"/>
      <c r="AT58" s="31">
        <f>35-Table2[[#This Row],[PARETO SKU MAR 2026]]</f>
        <v>35</v>
      </c>
      <c r="AU58" s="30"/>
      <c r="AV58" s="31">
        <f>35-Table2[[#This Row],[PARETO SKU MAR 2026]]</f>
        <v>35</v>
      </c>
      <c r="AW58" s="30"/>
      <c r="AX58" s="31">
        <f>35-Table2[[#This Row],[PARETO SKU MAR 2026]]</f>
        <v>35</v>
      </c>
      <c r="AY58" s="30"/>
      <c r="AZ58" s="31">
        <f>35-Table2[[#This Row],[PARETO SKU MAR 2026]]</f>
        <v>35</v>
      </c>
      <c r="BA58" s="30"/>
      <c r="BB58" s="31">
        <f>35-Table2[[#This Row],[PARETO SKU MAR 2026]]</f>
        <v>35</v>
      </c>
      <c r="BC58" s="30"/>
      <c r="BD58" s="31">
        <f>35-Table2[[#This Row],[PARETO SKU MAR 2026]]</f>
        <v>35</v>
      </c>
      <c r="BE58" s="30"/>
      <c r="BF58" s="31">
        <f>35-Table2[[#This Row],[PARETO SKU MAR 2026]]</f>
        <v>35</v>
      </c>
      <c r="BG58" s="30"/>
      <c r="BH58" s="31">
        <f>35-Table2[[#This Row],[PARETO SKU MAR 2026]]</f>
        <v>35</v>
      </c>
      <c r="BI58" s="30"/>
      <c r="BJ58" s="31">
        <f>35-Table2[[#This Row],[PARETO SKU MAR 2026]]</f>
        <v>35</v>
      </c>
      <c r="BL58" s="4"/>
    </row>
    <row r="59" spans="2:64" ht="27" customHeight="1" thickBot="1" x14ac:dyDescent="0.5">
      <c r="B59" s="45" t="s">
        <v>139</v>
      </c>
      <c r="C59" s="26">
        <f>RANK(IFERROR(VLOOKUP(Table2[[#This Row],[CUSTNO_DIST]],STM!B:C,2,FALSE),0),STM!$C$5:$C$65,0)</f>
        <v>57</v>
      </c>
      <c r="D59" s="46" t="s">
        <v>116</v>
      </c>
      <c r="E59" s="47" t="s">
        <v>117</v>
      </c>
      <c r="F59" s="32">
        <v>20642249.794375002</v>
      </c>
      <c r="G59" s="32">
        <v>1720187.4828645836</v>
      </c>
      <c r="H59" s="26">
        <f t="shared" si="4"/>
        <v>56</v>
      </c>
      <c r="I59" s="32">
        <v>969699.56076388888</v>
      </c>
      <c r="J59" s="26">
        <f t="shared" si="5"/>
        <v>57</v>
      </c>
      <c r="K59" s="34">
        <f>IFERROR(G59/I59-1," ")</f>
        <v>0.77393860167317352</v>
      </c>
      <c r="L59" s="34">
        <f>IFERROR(VLOOKUP(Table2[[#This Row],[CUST-GROUP]],$E$70:$K$88,7,FALSE),0)</f>
        <v>0.1295445799804944</v>
      </c>
      <c r="M59" s="34">
        <f>IFERROR(VLOOKUP(E59,STM!G:K,4,FALSE),0)/G59-1</f>
        <v>5.8967286645115857E-2</v>
      </c>
      <c r="N59" s="34">
        <f>IFERROR(VLOOKUP('SUMMARY MT 2026'!$B59,$E$70:$M$88,8,FALSE),0)</f>
        <v>0.47930016526078623</v>
      </c>
      <c r="O59" s="34">
        <f>IFERROR(VLOOKUP(E59,STM!G:K,5,FALSE),0)/G59-1</f>
        <v>-1</v>
      </c>
      <c r="P59" s="34">
        <f>IFERROR(VLOOKUP('SUMMARY MT 2026'!$B59,$E$70:$M$88,9,FALSE),0)</f>
        <v>-0.1322047187286205</v>
      </c>
      <c r="Q59" s="34"/>
      <c r="R59" s="34"/>
      <c r="S59" s="34"/>
      <c r="T59" s="34"/>
      <c r="U59" s="34"/>
      <c r="V59" s="34"/>
      <c r="W59" s="34"/>
      <c r="X59" s="34"/>
      <c r="Y59" s="34"/>
      <c r="Z59" s="34"/>
      <c r="AA59" s="34"/>
      <c r="AB59" s="34"/>
      <c r="AC59" s="34"/>
      <c r="AD59" s="34"/>
      <c r="AE59" s="34"/>
      <c r="AF59" s="34"/>
      <c r="AG59" s="34"/>
      <c r="AH59" s="34"/>
      <c r="AI59" s="34"/>
      <c r="AJ59" s="34"/>
      <c r="AK59" s="30">
        <f>IFERROR(VLOOKUP(E59,[1]dashboard_SYAIFUL!$E$4:$AZ$76,47,FALSE),0)</f>
        <v>10</v>
      </c>
      <c r="AL59" s="30">
        <f>IFERROR(VLOOKUP(E59,[1]dashboard_SYAIFUL!$E$4:$AZ$76,48,FALSE),0)</f>
        <v>25</v>
      </c>
      <c r="AM59" s="30">
        <f>IFERROR(VLOOKUP(E59,[1]dashboard_SYAIFUL!$E$4:$BD$76,49,FALSE),0)</f>
        <v>4</v>
      </c>
      <c r="AN59" s="30">
        <f>IFERROR(VLOOKUP(E59,[1]dashboard_SYAIFUL!$E$4:$BD$76,50,FALSE),0)</f>
        <v>31</v>
      </c>
      <c r="AO59" s="30">
        <f>IFERROR(VLOOKUP('SUMMARY MT 2026'!$E59,[1]dashboard_SYAIFUL!$E$4:$CP$76,89,FALSE),0)</f>
        <v>0</v>
      </c>
      <c r="AP59" s="31">
        <f>IFERROR(VLOOKUP('SUMMARY MT 2026'!$E59,[1]dashboard_SYAIFUL!$E$4:$CP$76,90,FALSE),0)</f>
        <v>35</v>
      </c>
      <c r="AQ59" s="30"/>
      <c r="AR59" s="31">
        <f>35-Table2[[#This Row],[PARETO SKU MAR 2026]]</f>
        <v>35</v>
      </c>
      <c r="AS59" s="30"/>
      <c r="AT59" s="31">
        <f>35-Table2[[#This Row],[PARETO SKU MAR 2026]]</f>
        <v>35</v>
      </c>
      <c r="AU59" s="30"/>
      <c r="AV59" s="31">
        <f>35-Table2[[#This Row],[PARETO SKU MAR 2026]]</f>
        <v>35</v>
      </c>
      <c r="AW59" s="30"/>
      <c r="AX59" s="31">
        <f>35-Table2[[#This Row],[PARETO SKU MAR 2026]]</f>
        <v>35</v>
      </c>
      <c r="AY59" s="30"/>
      <c r="AZ59" s="31">
        <f>35-Table2[[#This Row],[PARETO SKU MAR 2026]]</f>
        <v>35</v>
      </c>
      <c r="BA59" s="30"/>
      <c r="BB59" s="31">
        <f>35-Table2[[#This Row],[PARETO SKU MAR 2026]]</f>
        <v>35</v>
      </c>
      <c r="BC59" s="30"/>
      <c r="BD59" s="31">
        <f>35-Table2[[#This Row],[PARETO SKU MAR 2026]]</f>
        <v>35</v>
      </c>
      <c r="BE59" s="30"/>
      <c r="BF59" s="31">
        <f>35-Table2[[#This Row],[PARETO SKU MAR 2026]]</f>
        <v>35</v>
      </c>
      <c r="BG59" s="30"/>
      <c r="BH59" s="31">
        <f>35-Table2[[#This Row],[PARETO SKU MAR 2026]]</f>
        <v>35</v>
      </c>
      <c r="BI59" s="30"/>
      <c r="BJ59" s="31">
        <f>35-Table2[[#This Row],[PARETO SKU MAR 2026]]</f>
        <v>35</v>
      </c>
      <c r="BL59" s="4"/>
    </row>
    <row r="60" spans="2:64" ht="27" customHeight="1" thickBot="1" x14ac:dyDescent="0.5">
      <c r="B60" s="45" t="s">
        <v>149</v>
      </c>
      <c r="C60" s="26">
        <f>RANK(IFERROR(VLOOKUP(Table2[[#This Row],[CUSTNO_DIST]],STM!B:C,2,FALSE),0),STM!$C$5:$C$65,0)</f>
        <v>53</v>
      </c>
      <c r="D60" s="46" t="s">
        <v>118</v>
      </c>
      <c r="E60" s="47" t="s">
        <v>119</v>
      </c>
      <c r="F60" s="32">
        <v>18842159.861562502</v>
      </c>
      <c r="G60" s="32">
        <v>1570179.9884635417</v>
      </c>
      <c r="H60" s="26">
        <f t="shared" si="4"/>
        <v>57</v>
      </c>
      <c r="I60" s="32">
        <v>1059699.4878472222</v>
      </c>
      <c r="J60" s="26">
        <f t="shared" si="5"/>
        <v>56</v>
      </c>
      <c r="K60" s="34">
        <f>IFERROR(G60/I60-1," ")</f>
        <v>0.48172194709026406</v>
      </c>
      <c r="L60" s="34">
        <f>IFERROR(VLOOKUP(Table2[[#This Row],[CUST-GROUP]],$E$70:$K$88,7,FALSE),0)</f>
        <v>0.48172194709026406</v>
      </c>
      <c r="M60" s="34">
        <f>IFERROR(VLOOKUP(E60,STM!G:K,4,FALSE),0)/G60-1</f>
        <v>3.6548317363675809E-2</v>
      </c>
      <c r="N60" s="34">
        <f>IFERROR(VLOOKUP('SUMMARY MT 2026'!$B60,$E$70:$M$88,8,FALSE),0)</f>
        <v>3.6548317363675809E-2</v>
      </c>
      <c r="O60" s="34">
        <f>IFERROR(VLOOKUP(E60,STM!G:K,5,FALSE),0)/G60-1</f>
        <v>0.2333459469079624</v>
      </c>
      <c r="P60" s="34">
        <f>IFERROR(VLOOKUP('SUMMARY MT 2026'!$B60,$E$70:$M$88,9,FALSE),0)</f>
        <v>0.2333459469079624</v>
      </c>
      <c r="Q60" s="34"/>
      <c r="R60" s="34"/>
      <c r="S60" s="34"/>
      <c r="T60" s="34"/>
      <c r="U60" s="34"/>
      <c r="V60" s="34"/>
      <c r="W60" s="34"/>
      <c r="X60" s="34"/>
      <c r="Y60" s="34"/>
      <c r="Z60" s="34"/>
      <c r="AA60" s="34"/>
      <c r="AB60" s="34"/>
      <c r="AC60" s="34"/>
      <c r="AD60" s="34"/>
      <c r="AE60" s="34"/>
      <c r="AF60" s="34"/>
      <c r="AG60" s="34"/>
      <c r="AH60" s="34"/>
      <c r="AI60" s="34"/>
      <c r="AJ60" s="34"/>
      <c r="AK60" s="30">
        <f>IFERROR(VLOOKUP(E60,[1]dashboard_SYAIFUL!$E$4:$AZ$76,47,FALSE),0)</f>
        <v>11</v>
      </c>
      <c r="AL60" s="30">
        <f>IFERROR(VLOOKUP(E60,[1]dashboard_SYAIFUL!$E$4:$AZ$76,48,FALSE),0)</f>
        <v>24</v>
      </c>
      <c r="AM60" s="30">
        <f>IFERROR(VLOOKUP(E60,[1]dashboard_SYAIFUL!$E$4:$BD$76,49,FALSE),0)</f>
        <v>7</v>
      </c>
      <c r="AN60" s="30">
        <f>IFERROR(VLOOKUP(E60,[1]dashboard_SYAIFUL!$E$4:$BD$76,50,FALSE),0)</f>
        <v>28</v>
      </c>
      <c r="AO60" s="30">
        <f>IFERROR(VLOOKUP('SUMMARY MT 2026'!$E60,[1]dashboard_SYAIFUL!$E$4:$CP$76,89,FALSE),0)</f>
        <v>8</v>
      </c>
      <c r="AP60" s="31">
        <f>IFERROR(VLOOKUP('SUMMARY MT 2026'!$E60,[1]dashboard_SYAIFUL!$E$4:$CP$76,90,FALSE),0)</f>
        <v>27</v>
      </c>
      <c r="AQ60" s="30"/>
      <c r="AR60" s="31">
        <f>35-Table2[[#This Row],[PARETO SKU MAR 2026]]</f>
        <v>35</v>
      </c>
      <c r="AS60" s="30"/>
      <c r="AT60" s="31">
        <f>35-Table2[[#This Row],[PARETO SKU MAR 2026]]</f>
        <v>35</v>
      </c>
      <c r="AU60" s="30"/>
      <c r="AV60" s="31">
        <f>35-Table2[[#This Row],[PARETO SKU MAR 2026]]</f>
        <v>35</v>
      </c>
      <c r="AW60" s="30"/>
      <c r="AX60" s="31">
        <f>35-Table2[[#This Row],[PARETO SKU MAR 2026]]</f>
        <v>35</v>
      </c>
      <c r="AY60" s="30"/>
      <c r="AZ60" s="31">
        <f>35-Table2[[#This Row],[PARETO SKU MAR 2026]]</f>
        <v>35</v>
      </c>
      <c r="BA60" s="30"/>
      <c r="BB60" s="31">
        <f>35-Table2[[#This Row],[PARETO SKU MAR 2026]]</f>
        <v>35</v>
      </c>
      <c r="BC60" s="30"/>
      <c r="BD60" s="31">
        <f>35-Table2[[#This Row],[PARETO SKU MAR 2026]]</f>
        <v>35</v>
      </c>
      <c r="BE60" s="30"/>
      <c r="BF60" s="31">
        <f>35-Table2[[#This Row],[PARETO SKU MAR 2026]]</f>
        <v>35</v>
      </c>
      <c r="BG60" s="30"/>
      <c r="BH60" s="31">
        <f>35-Table2[[#This Row],[PARETO SKU MAR 2026]]</f>
        <v>35</v>
      </c>
      <c r="BI60" s="30"/>
      <c r="BJ60" s="31">
        <f>35-Table2[[#This Row],[PARETO SKU MAR 2026]]</f>
        <v>35</v>
      </c>
      <c r="BL60" s="4"/>
    </row>
    <row r="61" spans="2:64" ht="27" customHeight="1" thickBot="1" x14ac:dyDescent="0.5">
      <c r="B61" s="45" t="s">
        <v>150</v>
      </c>
      <c r="C61" s="54">
        <f>RANK(IFERROR(VLOOKUP(Table2[[#This Row],[CUSTNO_DIST]],STM!B:C,2,FALSE),0),STM!$C$5:$C$65,0)</f>
        <v>60</v>
      </c>
      <c r="D61" s="46" t="s">
        <v>120</v>
      </c>
      <c r="E61" s="47" t="s">
        <v>121</v>
      </c>
      <c r="F61" s="32">
        <v>13692433.942500001</v>
      </c>
      <c r="G61" s="32">
        <v>1141036.161875</v>
      </c>
      <c r="H61" s="26">
        <f t="shared" si="4"/>
        <v>58</v>
      </c>
      <c r="I61" s="32">
        <v>1755487.3055555553</v>
      </c>
      <c r="J61" s="26">
        <f t="shared" si="5"/>
        <v>53</v>
      </c>
      <c r="K61" s="34">
        <f>IFERROR(G61/I61-1," ")</f>
        <v>-0.35001742350173315</v>
      </c>
      <c r="L61" s="34">
        <f>IFERROR(VLOOKUP(Table2[[#This Row],[CUST-GROUP]],$E$70:$K$88,7,FALSE),0)</f>
        <v>-0.35001742350173315</v>
      </c>
      <c r="M61" s="34">
        <f>IFERROR(VLOOKUP(E61,STM!G:K,4,FALSE),0)/G61-1</f>
        <v>-1</v>
      </c>
      <c r="N61" s="34">
        <f>IFERROR(VLOOKUP('SUMMARY MT 2026'!$B61,$E$70:$M$88,8,FALSE),0)</f>
        <v>-1</v>
      </c>
      <c r="O61" s="34">
        <f>IFERROR(VLOOKUP(E61,STM!G:K,5,FALSE),0)/G61-1</f>
        <v>-1</v>
      </c>
      <c r="P61" s="34">
        <f>IFERROR(VLOOKUP('SUMMARY MT 2026'!$B61,$E$70:$M$88,9,FALSE),0)</f>
        <v>-1</v>
      </c>
      <c r="Q61" s="34"/>
      <c r="R61" s="34"/>
      <c r="S61" s="34"/>
      <c r="T61" s="34"/>
      <c r="U61" s="34"/>
      <c r="V61" s="34"/>
      <c r="W61" s="34"/>
      <c r="X61" s="34"/>
      <c r="Y61" s="34"/>
      <c r="Z61" s="34"/>
      <c r="AA61" s="34"/>
      <c r="AB61" s="34"/>
      <c r="AC61" s="34"/>
      <c r="AD61" s="34"/>
      <c r="AE61" s="34"/>
      <c r="AF61" s="34"/>
      <c r="AG61" s="34"/>
      <c r="AH61" s="34"/>
      <c r="AI61" s="34"/>
      <c r="AJ61" s="34"/>
      <c r="AK61" s="30">
        <f>IFERROR(VLOOKUP(E61,[1]dashboard_SYAIFUL!$E$4:$AZ$76,47,FALSE),0)</f>
        <v>0</v>
      </c>
      <c r="AL61" s="30">
        <f>IFERROR(VLOOKUP(E61,[1]dashboard_SYAIFUL!$E$4:$AZ$76,48,FALSE),0)</f>
        <v>0</v>
      </c>
      <c r="AM61" s="30">
        <f>IFERROR(VLOOKUP(E61,[1]dashboard_SYAIFUL!$E$4:$BD$76,49,FALSE),0)</f>
        <v>0</v>
      </c>
      <c r="AN61" s="30">
        <f>IFERROR(VLOOKUP(E61,[1]dashboard_SYAIFUL!$E$4:$BD$76,50,FALSE),0)</f>
        <v>0</v>
      </c>
      <c r="AO61" s="30">
        <f>IFERROR(VLOOKUP('SUMMARY MT 2026'!$E61,[1]dashboard_SYAIFUL!$E$4:$CP$76,89,FALSE),0)</f>
        <v>0</v>
      </c>
      <c r="AP61" s="31">
        <f>IFERROR(VLOOKUP('SUMMARY MT 2026'!$E61,[1]dashboard_SYAIFUL!$E$4:$CP$76,90,FALSE),0)</f>
        <v>0</v>
      </c>
      <c r="AQ61" s="30"/>
      <c r="AR61" s="31">
        <f>35-Table2[[#This Row],[PARETO SKU MAR 2026]]</f>
        <v>35</v>
      </c>
      <c r="AS61" s="30"/>
      <c r="AT61" s="31">
        <f>35-Table2[[#This Row],[PARETO SKU MAR 2026]]</f>
        <v>35</v>
      </c>
      <c r="AU61" s="30"/>
      <c r="AV61" s="31">
        <f>35-Table2[[#This Row],[PARETO SKU MAR 2026]]</f>
        <v>35</v>
      </c>
      <c r="AW61" s="30"/>
      <c r="AX61" s="31">
        <f>35-Table2[[#This Row],[PARETO SKU MAR 2026]]</f>
        <v>35</v>
      </c>
      <c r="AY61" s="30"/>
      <c r="AZ61" s="31">
        <f>35-Table2[[#This Row],[PARETO SKU MAR 2026]]</f>
        <v>35</v>
      </c>
      <c r="BA61" s="30"/>
      <c r="BB61" s="31">
        <f>35-Table2[[#This Row],[PARETO SKU MAR 2026]]</f>
        <v>35</v>
      </c>
      <c r="BC61" s="30"/>
      <c r="BD61" s="31">
        <f>35-Table2[[#This Row],[PARETO SKU MAR 2026]]</f>
        <v>35</v>
      </c>
      <c r="BE61" s="30"/>
      <c r="BF61" s="31">
        <f>35-Table2[[#This Row],[PARETO SKU MAR 2026]]</f>
        <v>35</v>
      </c>
      <c r="BG61" s="30"/>
      <c r="BH61" s="31">
        <f>35-Table2[[#This Row],[PARETO SKU MAR 2026]]</f>
        <v>35</v>
      </c>
      <c r="BI61" s="30"/>
      <c r="BJ61" s="31">
        <f>35-Table2[[#This Row],[PARETO SKU MAR 2026]]</f>
        <v>35</v>
      </c>
      <c r="BL61" s="4"/>
    </row>
    <row r="62" spans="2:64" ht="27" customHeight="1" thickBot="1" x14ac:dyDescent="0.5">
      <c r="B62" s="45" t="s">
        <v>140</v>
      </c>
      <c r="C62" s="26">
        <f>RANK(IFERROR(VLOOKUP(Table2[[#This Row],[CUSTNO_DIST]],STM!B:C,2,FALSE),0),STM!$C$5:$C$65,0)</f>
        <v>55</v>
      </c>
      <c r="D62" s="46" t="s">
        <v>122</v>
      </c>
      <c r="E62" s="47" t="s">
        <v>123</v>
      </c>
      <c r="F62" s="32">
        <v>12800990.211875003</v>
      </c>
      <c r="G62" s="32">
        <v>1066749.1843229169</v>
      </c>
      <c r="H62" s="26">
        <f t="shared" si="4"/>
        <v>59</v>
      </c>
      <c r="I62" s="32">
        <v>1574308.900173611</v>
      </c>
      <c r="J62" s="26">
        <f t="shared" si="5"/>
        <v>55</v>
      </c>
      <c r="K62" s="34">
        <f>IFERROR(G62/I62-1," ")</f>
        <v>-0.32240160478970903</v>
      </c>
      <c r="L62" s="34">
        <f>IFERROR(VLOOKUP(Table2[[#This Row],[CUST-GROUP]],$E$70:$K$88,7,FALSE),0)</f>
        <v>3.5428639582653076E-2</v>
      </c>
      <c r="M62" s="34">
        <f>IFERROR(VLOOKUP(E62,STM!G:K,4,FALSE),0)/G62-1</f>
        <v>0.92198003769868397</v>
      </c>
      <c r="N62" s="34">
        <f>IFERROR(VLOOKUP('SUMMARY MT 2026'!$B62,$E$70:$M$88,8,FALSE),0)</f>
        <v>-0.15994413784687966</v>
      </c>
      <c r="O62" s="34">
        <f>IFERROR(VLOOKUP(E62,STM!G:K,5,FALSE),0)/G62-1</f>
        <v>-1</v>
      </c>
      <c r="P62" s="34">
        <f>IFERROR(VLOOKUP('SUMMARY MT 2026'!$B62,$E$70:$M$88,9,FALSE),0)</f>
        <v>-0.14096078160073211</v>
      </c>
      <c r="Q62" s="34"/>
      <c r="R62" s="34"/>
      <c r="S62" s="34"/>
      <c r="T62" s="34"/>
      <c r="U62" s="34"/>
      <c r="V62" s="34"/>
      <c r="W62" s="34"/>
      <c r="X62" s="34"/>
      <c r="Y62" s="34"/>
      <c r="Z62" s="34"/>
      <c r="AA62" s="34"/>
      <c r="AB62" s="34"/>
      <c r="AC62" s="34"/>
      <c r="AD62" s="34"/>
      <c r="AE62" s="34"/>
      <c r="AF62" s="34"/>
      <c r="AG62" s="34"/>
      <c r="AH62" s="34"/>
      <c r="AI62" s="34"/>
      <c r="AJ62" s="34"/>
      <c r="AK62" s="30">
        <f>IFERROR(VLOOKUP(E62,[1]dashboard_SYAIFUL!$E$4:$AZ$76,47,FALSE),0)</f>
        <v>9</v>
      </c>
      <c r="AL62" s="30">
        <f>IFERROR(VLOOKUP(E62,[1]dashboard_SYAIFUL!$E$4:$AZ$76,48,FALSE),0)</f>
        <v>26</v>
      </c>
      <c r="AM62" s="30">
        <f>IFERROR(VLOOKUP(E62,[1]dashboard_SYAIFUL!$E$4:$BD$76,49,FALSE),0)</f>
        <v>4</v>
      </c>
      <c r="AN62" s="30">
        <f>IFERROR(VLOOKUP(E62,[1]dashboard_SYAIFUL!$E$4:$BD$76,50,FALSE),0)</f>
        <v>31</v>
      </c>
      <c r="AO62" s="30">
        <f>IFERROR(VLOOKUP('SUMMARY MT 2026'!$E62,[1]dashboard_SYAIFUL!$E$4:$CP$76,89,FALSE),0)</f>
        <v>0</v>
      </c>
      <c r="AP62" s="31">
        <f>IFERROR(VLOOKUP('SUMMARY MT 2026'!$E62,[1]dashboard_SYAIFUL!$E$4:$CP$76,90,FALSE),0)</f>
        <v>35</v>
      </c>
      <c r="AQ62" s="30"/>
      <c r="AR62" s="31">
        <f>35-Table2[[#This Row],[PARETO SKU MAR 2026]]</f>
        <v>35</v>
      </c>
      <c r="AS62" s="30"/>
      <c r="AT62" s="31">
        <f>35-Table2[[#This Row],[PARETO SKU MAR 2026]]</f>
        <v>35</v>
      </c>
      <c r="AU62" s="30"/>
      <c r="AV62" s="31">
        <f>35-Table2[[#This Row],[PARETO SKU MAR 2026]]</f>
        <v>35</v>
      </c>
      <c r="AW62" s="30"/>
      <c r="AX62" s="31">
        <f>35-Table2[[#This Row],[PARETO SKU MAR 2026]]</f>
        <v>35</v>
      </c>
      <c r="AY62" s="30"/>
      <c r="AZ62" s="31">
        <f>35-Table2[[#This Row],[PARETO SKU MAR 2026]]</f>
        <v>35</v>
      </c>
      <c r="BA62" s="30"/>
      <c r="BB62" s="31">
        <f>35-Table2[[#This Row],[PARETO SKU MAR 2026]]</f>
        <v>35</v>
      </c>
      <c r="BC62" s="30"/>
      <c r="BD62" s="31">
        <f>35-Table2[[#This Row],[PARETO SKU MAR 2026]]</f>
        <v>35</v>
      </c>
      <c r="BE62" s="30"/>
      <c r="BF62" s="31">
        <f>35-Table2[[#This Row],[PARETO SKU MAR 2026]]</f>
        <v>35</v>
      </c>
      <c r="BG62" s="30"/>
      <c r="BH62" s="31">
        <f>35-Table2[[#This Row],[PARETO SKU MAR 2026]]</f>
        <v>35</v>
      </c>
      <c r="BI62" s="30"/>
      <c r="BJ62" s="31">
        <f>35-Table2[[#This Row],[PARETO SKU MAR 2026]]</f>
        <v>35</v>
      </c>
      <c r="BL62" s="4"/>
    </row>
    <row r="63" spans="2:64" ht="27" customHeight="1" thickBot="1" x14ac:dyDescent="0.5">
      <c r="B63" s="45" t="s">
        <v>151</v>
      </c>
      <c r="C63" s="26">
        <f>RANK(IFERROR(VLOOKUP(Table2[[#This Row],[CUSTNO_DIST]],STM!B:C,2,FALSE),0),STM!$C$5:$C$65,0)</f>
        <v>58</v>
      </c>
      <c r="D63" s="46" t="s">
        <v>124</v>
      </c>
      <c r="E63" s="47" t="s">
        <v>125</v>
      </c>
      <c r="F63" s="32">
        <v>4151352.5999999996</v>
      </c>
      <c r="G63" s="32">
        <v>345946.05</v>
      </c>
      <c r="H63" s="26">
        <f t="shared" si="4"/>
        <v>60</v>
      </c>
      <c r="I63" s="32">
        <v>0</v>
      </c>
      <c r="J63" s="26">
        <f t="shared" si="5"/>
        <v>58</v>
      </c>
      <c r="K63" s="34">
        <f>IFERROR(G63/I63-1,1)</f>
        <v>1</v>
      </c>
      <c r="L63" s="34">
        <f>IFERROR(VLOOKUP(Table2[[#This Row],[CUST-GROUP]],$E$70:$K$88,7,FALSE),0)</f>
        <v>1</v>
      </c>
      <c r="M63" s="34">
        <f>IFERROR(VLOOKUP(E63,STM!G:K,4,FALSE),0)/G63-1</f>
        <v>-1</v>
      </c>
      <c r="N63" s="34">
        <f>IFERROR(VLOOKUP('SUMMARY MT 2026'!$B63,$E$70:$M$88,8,FALSE),0)</f>
        <v>-1</v>
      </c>
      <c r="O63" s="34">
        <f>IFERROR(VLOOKUP(E63,STM!G:K,5,FALSE),0)/G63-1</f>
        <v>3.2499993279298893</v>
      </c>
      <c r="P63" s="34">
        <f>IFERROR(VLOOKUP('SUMMARY MT 2026'!$B63,$E$70:$M$88,9,FALSE),0)</f>
        <v>3.2499993279298893</v>
      </c>
      <c r="Q63" s="34"/>
      <c r="R63" s="34"/>
      <c r="S63" s="34"/>
      <c r="T63" s="34"/>
      <c r="U63" s="34"/>
      <c r="V63" s="34"/>
      <c r="W63" s="34"/>
      <c r="X63" s="34"/>
      <c r="Y63" s="34"/>
      <c r="Z63" s="34"/>
      <c r="AA63" s="34"/>
      <c r="AB63" s="34"/>
      <c r="AC63" s="34"/>
      <c r="AD63" s="34"/>
      <c r="AE63" s="34"/>
      <c r="AF63" s="34"/>
      <c r="AG63" s="34"/>
      <c r="AH63" s="34"/>
      <c r="AI63" s="34"/>
      <c r="AJ63" s="34"/>
      <c r="AK63" s="30">
        <f>IFERROR(VLOOKUP(E63,[1]dashboard_SYAIFUL!$E$4:$AZ$76,47,FALSE),0)</f>
        <v>0</v>
      </c>
      <c r="AL63" s="30">
        <f>IFERROR(VLOOKUP(E63,[1]dashboard_SYAIFUL!$E$4:$AZ$76,48,FALSE),0)</f>
        <v>0</v>
      </c>
      <c r="AM63" s="30">
        <f>IFERROR(VLOOKUP(E63,[1]dashboard_SYAIFUL!$E$4:$BD$76,49,FALSE),0)</f>
        <v>0</v>
      </c>
      <c r="AN63" s="30">
        <f>IFERROR(VLOOKUP(E63,[1]dashboard_SYAIFUL!$E$4:$BD$76,50,FALSE),0)</f>
        <v>0</v>
      </c>
      <c r="AO63" s="30">
        <f>IFERROR(VLOOKUP('SUMMARY MT 2026'!$E63,[1]dashboard_SYAIFUL!$E$4:$CP$76,89,FALSE),0)</f>
        <v>0</v>
      </c>
      <c r="AP63" s="31">
        <f>IFERROR(VLOOKUP('SUMMARY MT 2026'!$E63,[1]dashboard_SYAIFUL!$E$4:$CP$76,90,FALSE),0)</f>
        <v>0</v>
      </c>
      <c r="AQ63" s="30"/>
      <c r="AR63" s="31">
        <f>35-Table2[[#This Row],[PARETO SKU MAR 2026]]</f>
        <v>35</v>
      </c>
      <c r="AS63" s="30"/>
      <c r="AT63" s="31">
        <f>35-Table2[[#This Row],[PARETO SKU MAR 2026]]</f>
        <v>35</v>
      </c>
      <c r="AU63" s="30"/>
      <c r="AV63" s="31">
        <f>35-Table2[[#This Row],[PARETO SKU MAR 2026]]</f>
        <v>35</v>
      </c>
      <c r="AW63" s="30"/>
      <c r="AX63" s="31">
        <f>35-Table2[[#This Row],[PARETO SKU MAR 2026]]</f>
        <v>35</v>
      </c>
      <c r="AY63" s="30"/>
      <c r="AZ63" s="31">
        <f>35-Table2[[#This Row],[PARETO SKU MAR 2026]]</f>
        <v>35</v>
      </c>
      <c r="BA63" s="30"/>
      <c r="BB63" s="31">
        <f>35-Table2[[#This Row],[PARETO SKU MAR 2026]]</f>
        <v>35</v>
      </c>
      <c r="BC63" s="30"/>
      <c r="BD63" s="31">
        <f>35-Table2[[#This Row],[PARETO SKU MAR 2026]]</f>
        <v>35</v>
      </c>
      <c r="BE63" s="30"/>
      <c r="BF63" s="31">
        <f>35-Table2[[#This Row],[PARETO SKU MAR 2026]]</f>
        <v>35</v>
      </c>
      <c r="BG63" s="30"/>
      <c r="BH63" s="31">
        <f>35-Table2[[#This Row],[PARETO SKU MAR 2026]]</f>
        <v>35</v>
      </c>
      <c r="BI63" s="30"/>
      <c r="BJ63" s="31">
        <f>35-Table2[[#This Row],[PARETO SKU MAR 2026]]</f>
        <v>35</v>
      </c>
      <c r="BL63" s="4"/>
    </row>
    <row r="64" spans="2:64" ht="27" customHeight="1" thickBot="1" x14ac:dyDescent="0.5">
      <c r="B64" s="45" t="s">
        <v>147</v>
      </c>
      <c r="C64" s="26">
        <f>RANK(IFERROR(VLOOKUP(Table2[[#This Row],[CUSTNO_DIST]],STM!B:C,2,FALSE),0),STM!$C$5:$C$65,0)</f>
        <v>60</v>
      </c>
      <c r="D64" s="46" t="s">
        <v>126</v>
      </c>
      <c r="E64" s="47" t="s">
        <v>127</v>
      </c>
      <c r="F64" s="32">
        <v>133153.09875</v>
      </c>
      <c r="G64" s="32">
        <v>11096.0915625</v>
      </c>
      <c r="H64" s="26">
        <f t="shared" si="4"/>
        <v>61</v>
      </c>
      <c r="I64" s="32">
        <v>7237025.189236111</v>
      </c>
      <c r="J64" s="26">
        <f t="shared" si="5"/>
        <v>39</v>
      </c>
      <c r="K64" s="34">
        <f>IFERROR(G64/I64-1," ")</f>
        <v>-0.99846676068241358</v>
      </c>
      <c r="L64" s="34">
        <f>IFERROR(VLOOKUP(Table2[[#This Row],[CUST-GROUP]],$E$70:$K$88,7,FALSE),0)</f>
        <v>-0.1059355584334789</v>
      </c>
      <c r="M64" s="34">
        <f>IFERROR(VLOOKUP(E64,STM!G:K,4,FALSE),0)/G64-1</f>
        <v>-1</v>
      </c>
      <c r="N64" s="34">
        <f>IFERROR(VLOOKUP('SUMMARY MT 2026'!$B64,$E$70:$M$88,8,FALSE),0)</f>
        <v>0.48461473864101223</v>
      </c>
      <c r="O64" s="34">
        <f>IFERROR(VLOOKUP(E64,STM!G:K,5,FALSE),0)/G64-1</f>
        <v>-1</v>
      </c>
      <c r="P64" s="34">
        <f>IFERROR(VLOOKUP('SUMMARY MT 2026'!$B64,$E$70:$M$88,9,FALSE),0)</f>
        <v>-0.12003957803341569</v>
      </c>
      <c r="Q64" s="34"/>
      <c r="R64" s="34"/>
      <c r="S64" s="34"/>
      <c r="T64" s="34"/>
      <c r="U64" s="34"/>
      <c r="V64" s="34"/>
      <c r="W64" s="34"/>
      <c r="X64" s="34"/>
      <c r="Y64" s="34"/>
      <c r="Z64" s="34"/>
      <c r="AA64" s="34"/>
      <c r="AB64" s="34"/>
      <c r="AC64" s="34"/>
      <c r="AD64" s="34"/>
      <c r="AE64" s="34"/>
      <c r="AF64" s="34"/>
      <c r="AG64" s="34"/>
      <c r="AH64" s="34"/>
      <c r="AI64" s="34"/>
      <c r="AJ64" s="34"/>
      <c r="AK64" s="30">
        <f>IFERROR(VLOOKUP(E64,[1]dashboard_SYAIFUL!$E$4:$AZ$76,47,FALSE),0)</f>
        <v>2</v>
      </c>
      <c r="AL64" s="30">
        <f>IFERROR(VLOOKUP(E64,[1]dashboard_SYAIFUL!$E$4:$AZ$76,48,FALSE),0)</f>
        <v>33</v>
      </c>
      <c r="AM64" s="30">
        <f>IFERROR(VLOOKUP(E64,[1]dashboard_SYAIFUL!$E$4:$BD$76,49,FALSE),0)</f>
        <v>0</v>
      </c>
      <c r="AN64" s="30">
        <f>IFERROR(VLOOKUP(E64,[1]dashboard_SYAIFUL!$E$4:$BD$76,50,FALSE),0)</f>
        <v>35</v>
      </c>
      <c r="AO64" s="30">
        <f>IFERROR(VLOOKUP('SUMMARY MT 2026'!$E64,[1]dashboard_SYAIFUL!$E$4:$CP$76,89,FALSE),0)</f>
        <v>0</v>
      </c>
      <c r="AP64" s="31">
        <f>IFERROR(VLOOKUP('SUMMARY MT 2026'!$E64,[1]dashboard_SYAIFUL!$E$4:$CP$76,90,FALSE),0)</f>
        <v>35</v>
      </c>
      <c r="AQ64" s="30"/>
      <c r="AR64" s="31">
        <f>35-Table2[[#This Row],[PARETO SKU MAR 2026]]</f>
        <v>35</v>
      </c>
      <c r="AS64" s="30"/>
      <c r="AT64" s="31">
        <f>35-Table2[[#This Row],[PARETO SKU MAR 2026]]</f>
        <v>35</v>
      </c>
      <c r="AU64" s="30"/>
      <c r="AV64" s="31">
        <f>35-Table2[[#This Row],[PARETO SKU MAR 2026]]</f>
        <v>35</v>
      </c>
      <c r="AW64" s="30"/>
      <c r="AX64" s="31">
        <f>35-Table2[[#This Row],[PARETO SKU MAR 2026]]</f>
        <v>35</v>
      </c>
      <c r="AY64" s="30"/>
      <c r="AZ64" s="31">
        <f>35-Table2[[#This Row],[PARETO SKU MAR 2026]]</f>
        <v>35</v>
      </c>
      <c r="BA64" s="30"/>
      <c r="BB64" s="31">
        <f>35-Table2[[#This Row],[PARETO SKU MAR 2026]]</f>
        <v>35</v>
      </c>
      <c r="BC64" s="30"/>
      <c r="BD64" s="31">
        <f>35-Table2[[#This Row],[PARETO SKU MAR 2026]]</f>
        <v>35</v>
      </c>
      <c r="BE64" s="30"/>
      <c r="BF64" s="31">
        <f>35-Table2[[#This Row],[PARETO SKU MAR 2026]]</f>
        <v>35</v>
      </c>
      <c r="BG64" s="30"/>
      <c r="BH64" s="31">
        <f>35-Table2[[#This Row],[PARETO SKU MAR 2026]]</f>
        <v>35</v>
      </c>
      <c r="BI64" s="30"/>
      <c r="BJ64" s="31">
        <f>35-Table2[[#This Row],[PARETO SKU MAR 2026]]</f>
        <v>35</v>
      </c>
      <c r="BL64" s="4"/>
    </row>
    <row r="65" spans="1:62" s="37" customFormat="1" ht="18" x14ac:dyDescent="0.3">
      <c r="B65" s="35" t="s">
        <v>190</v>
      </c>
      <c r="C65" s="38" t="s">
        <v>191</v>
      </c>
      <c r="D65" s="36" t="s">
        <v>192</v>
      </c>
      <c r="E65" s="36" t="s">
        <v>189</v>
      </c>
      <c r="F65" s="38">
        <f>SUM(F4:F64)</f>
        <v>17226409982.793755</v>
      </c>
      <c r="G65" s="38">
        <f>SUM(G4:G64)</f>
        <v>1435534165.2328117</v>
      </c>
      <c r="H65" s="38" t="s">
        <v>191</v>
      </c>
      <c r="I65" s="38">
        <f>SUM(I4:I64)</f>
        <v>1200660666.9508097</v>
      </c>
      <c r="J65" s="38" t="s">
        <v>191</v>
      </c>
      <c r="K65" s="39">
        <f>G65/I65-1</f>
        <v>0.19562021539231833</v>
      </c>
      <c r="L65" s="39">
        <f>IFERROR(VLOOKUP(Table2[[#This Row],[CUST-GROUP]],$E$70:$K$88,7,FALSE),0)</f>
        <v>0</v>
      </c>
      <c r="M65" s="39">
        <f>1608416289.88863/G65-1</f>
        <v>0.12043051906589808</v>
      </c>
      <c r="N65" s="39">
        <f>M65</f>
        <v>0.12043051906589808</v>
      </c>
      <c r="O65" s="49">
        <f>684357897.274265/G65-1</f>
        <v>-0.5232729991046382</v>
      </c>
      <c r="P65" s="39">
        <f>O65</f>
        <v>-0.5232729991046382</v>
      </c>
      <c r="Q65" s="39"/>
      <c r="R65" s="39"/>
      <c r="S65" s="39"/>
      <c r="T65" s="39"/>
      <c r="U65" s="39"/>
      <c r="V65" s="39"/>
      <c r="W65" s="39"/>
      <c r="X65" s="39"/>
      <c r="Y65" s="39"/>
      <c r="Z65" s="39"/>
      <c r="AA65" s="39"/>
      <c r="AB65" s="39"/>
      <c r="AC65" s="39"/>
      <c r="AD65" s="39"/>
      <c r="AE65" s="39"/>
      <c r="AF65" s="39"/>
      <c r="AG65" s="39"/>
      <c r="AH65" s="39"/>
      <c r="AI65" s="39"/>
      <c r="AJ65" s="39"/>
      <c r="AK65" s="40">
        <f>MAX('SUMMARY MT 2026'!$AK$4:$AK$64)</f>
        <v>31</v>
      </c>
      <c r="AL65" s="40">
        <f>35-AK65</f>
        <v>4</v>
      </c>
      <c r="AM65" s="40">
        <f>MAX('SUMMARY MT 2026'!$AM$4:$AM$64)</f>
        <v>21</v>
      </c>
      <c r="AN65" s="40">
        <f>35-AM65</f>
        <v>14</v>
      </c>
      <c r="AO65" s="40">
        <f>MAX('SUMMARY MT 2026'!$AO$4:$AO$64)</f>
        <v>20</v>
      </c>
      <c r="AP65" s="41">
        <f>35-AO65</f>
        <v>15</v>
      </c>
      <c r="AQ65" s="40">
        <f>MAX(AQ4:AQ64)</f>
        <v>0</v>
      </c>
      <c r="AR65" s="41">
        <f>35-Table2[[#This Row],[PARETO SKU MAR 2026]]</f>
        <v>35</v>
      </c>
      <c r="AS65" s="40">
        <f>MAX(AS4:AS64)</f>
        <v>0</v>
      </c>
      <c r="AT65" s="41">
        <f>35-Table2[[#This Row],[PARETO SKU MAR 2026]]</f>
        <v>35</v>
      </c>
      <c r="AU65" s="40">
        <f>MAX(AU4:AU64)</f>
        <v>0</v>
      </c>
      <c r="AV65" s="41">
        <f>35-Table2[[#This Row],[PARETO SKU MAR 2026]]</f>
        <v>35</v>
      </c>
      <c r="AW65" s="40">
        <f>MAX(AW4:AW64)</f>
        <v>0</v>
      </c>
      <c r="AX65" s="41">
        <f>35-Table2[[#This Row],[PARETO SKU MAR 2026]]</f>
        <v>35</v>
      </c>
      <c r="AY65" s="40">
        <f t="shared" ref="AY65" si="6">MAX(AY4:AY64)</f>
        <v>0</v>
      </c>
      <c r="AZ65" s="41">
        <f>35-Table2[[#This Row],[PARETO SKU MAR 2026]]</f>
        <v>35</v>
      </c>
      <c r="BA65" s="40">
        <f t="shared" ref="BA65" si="7">MAX(BA4:BA64)</f>
        <v>0</v>
      </c>
      <c r="BB65" s="41">
        <f>35-Table2[[#This Row],[PARETO SKU MAR 2026]]</f>
        <v>35</v>
      </c>
      <c r="BC65" s="40">
        <f t="shared" ref="BC65" si="8">MAX(BC4:BC64)</f>
        <v>0</v>
      </c>
      <c r="BD65" s="41">
        <f>35-Table2[[#This Row],[PARETO SKU MAR 2026]]</f>
        <v>35</v>
      </c>
      <c r="BE65" s="40">
        <f t="shared" ref="BE65" si="9">MAX(BE4:BE64)</f>
        <v>0</v>
      </c>
      <c r="BF65" s="41">
        <f>35-Table2[[#This Row],[PARETO SKU MAR 2026]]</f>
        <v>35</v>
      </c>
      <c r="BG65" s="40">
        <f t="shared" ref="BG65" si="10">MAX(BG4:BG64)</f>
        <v>0</v>
      </c>
      <c r="BH65" s="41">
        <f>35-Table2[[#This Row],[PARETO SKU MAR 2026]]</f>
        <v>35</v>
      </c>
      <c r="BI65" s="40">
        <f t="shared" ref="BI65" si="11">MAX(BI4:BI64)</f>
        <v>0</v>
      </c>
      <c r="BJ65" s="41">
        <f>35-Table2[[#This Row],[PARETO SKU MAR 2026]]</f>
        <v>35</v>
      </c>
    </row>
    <row r="68" spans="1:62" ht="31.8" thickBot="1" x14ac:dyDescent="0.65">
      <c r="C68" s="2" t="s">
        <v>130</v>
      </c>
    </row>
    <row r="69" spans="1:62" s="3" customFormat="1" ht="31.8" thickBot="1" x14ac:dyDescent="0.35">
      <c r="A69" s="1"/>
      <c r="B69" s="78" t="s">
        <v>233</v>
      </c>
      <c r="C69" s="79" t="s">
        <v>235</v>
      </c>
      <c r="D69" s="80" t="s">
        <v>132</v>
      </c>
      <c r="E69" s="78" t="s">
        <v>131</v>
      </c>
      <c r="F69" s="78" t="s">
        <v>2</v>
      </c>
      <c r="G69" s="79" t="s">
        <v>5</v>
      </c>
      <c r="H69" s="79" t="s">
        <v>154</v>
      </c>
      <c r="I69" s="79" t="s">
        <v>153</v>
      </c>
      <c r="J69" s="79" t="s">
        <v>6</v>
      </c>
      <c r="K69" s="81" t="s">
        <v>7</v>
      </c>
      <c r="L69" s="15" t="s">
        <v>159</v>
      </c>
      <c r="M69" s="15" t="s">
        <v>181</v>
      </c>
      <c r="N69" s="12"/>
      <c r="O69" s="1"/>
      <c r="P69" s="1"/>
      <c r="Q69" s="1"/>
      <c r="R69" s="1"/>
      <c r="S69" s="1"/>
      <c r="T69" s="1"/>
      <c r="U69" s="1"/>
      <c r="V69" s="1"/>
      <c r="W69" s="4"/>
      <c r="X69" s="1"/>
      <c r="Y69" s="1"/>
      <c r="Z69" s="1"/>
      <c r="AA69" s="1"/>
      <c r="AB69" s="1"/>
      <c r="AC69" s="1"/>
      <c r="AD69" s="1"/>
      <c r="AE69" s="1"/>
      <c r="AF69" s="1"/>
      <c r="AG69" s="1"/>
      <c r="AH69" s="1"/>
      <c r="AI69" s="1"/>
      <c r="AJ69" s="1"/>
      <c r="AK69" s="1"/>
      <c r="AL69" s="1"/>
      <c r="AM69" s="1"/>
      <c r="AN69" s="1"/>
      <c r="AO69" s="1"/>
      <c r="AP69" s="1"/>
      <c r="AQ69" s="1"/>
      <c r="AR69" s="1"/>
      <c r="AS69" s="1"/>
    </row>
    <row r="70" spans="1:62" s="3" customFormat="1" ht="25.05" customHeight="1" x14ac:dyDescent="0.45">
      <c r="A70" s="1"/>
      <c r="B70" s="82">
        <f>RANK(C70,$C$70:$C$88,0)</f>
        <v>1</v>
      </c>
      <c r="C70" s="83">
        <f>SUMIF(STM!I:I,'SUMMARY MT 2026'!E70,STM!C:C)</f>
        <v>275890878.85062498</v>
      </c>
      <c r="D70" s="84">
        <f t="shared" ref="D70:D88" si="12">G70/SUM($G$70:$G$88)</f>
        <v>0.20235051424814582</v>
      </c>
      <c r="E70" s="85" t="s">
        <v>133</v>
      </c>
      <c r="F70" s="82">
        <f t="shared" ref="F70:F88" si="13">RANK(D70,$D$70:$E$88,0)</f>
        <v>1</v>
      </c>
      <c r="G70" s="86">
        <f>SUMIF($B$4:$B$64,E70,$F$4:$F$64)</f>
        <v>3485772918.6677084</v>
      </c>
      <c r="H70" s="87">
        <f>G70/12</f>
        <v>290481076.55564237</v>
      </c>
      <c r="I70" s="87">
        <f t="shared" ref="I70:I88" si="14">SUMIF($B$4:$B$64,E70,$I$4:$I$64)</f>
        <v>240426119.70572913</v>
      </c>
      <c r="J70" s="88">
        <f>RANK(I70,$I$70:$I$88,0)</f>
        <v>1</v>
      </c>
      <c r="K70" s="89">
        <f>H70/I70-1</f>
        <v>0.20819267436989897</v>
      </c>
      <c r="L70" s="25">
        <f>SUMIF(STM!I:I,'SUMMARY MT 2026'!E70,STM!J:J)/H70-1</f>
        <v>0.23890658941664045</v>
      </c>
      <c r="M70" s="25">
        <f>SUMIF(STM!I:I,'SUMMARY MT 2026'!E70,STM!K:K)/H70-1</f>
        <v>-0.33936199861588745</v>
      </c>
      <c r="N70" s="14"/>
      <c r="O70" s="1"/>
      <c r="P70" s="1"/>
      <c r="Q70" s="1"/>
      <c r="R70" s="1"/>
      <c r="S70" s="1"/>
      <c r="T70" s="1"/>
      <c r="U70" s="1"/>
      <c r="V70" s="1"/>
      <c r="W70" s="33"/>
      <c r="X70" s="1"/>
      <c r="Y70" s="1"/>
      <c r="Z70" s="1"/>
      <c r="AA70" s="1"/>
      <c r="AB70" s="1"/>
      <c r="AC70" s="1"/>
      <c r="AD70" s="1"/>
      <c r="AE70" s="1"/>
      <c r="AF70" s="1"/>
      <c r="AG70" s="1"/>
      <c r="AH70" s="1"/>
      <c r="AI70" s="1"/>
      <c r="AJ70" s="1"/>
      <c r="AK70" s="1"/>
      <c r="AL70" s="1"/>
      <c r="AM70" s="1"/>
      <c r="AN70" s="1"/>
      <c r="AO70" s="1"/>
      <c r="AP70" s="1"/>
      <c r="AQ70" s="1"/>
      <c r="AR70" s="1"/>
      <c r="AS70" s="1"/>
    </row>
    <row r="71" spans="1:62" s="3" customFormat="1" ht="25.05" customHeight="1" x14ac:dyDescent="0.45">
      <c r="A71" s="1"/>
      <c r="B71" s="90">
        <f t="shared" ref="B71:B88" si="15">RANK(C71,$C$70:$C$88,0)</f>
        <v>2</v>
      </c>
      <c r="C71" s="91">
        <f>SUMIF(STM!I:I,'SUMMARY MT 2026'!E71,STM!C:C)</f>
        <v>164513692.87479168</v>
      </c>
      <c r="D71" s="92">
        <f t="shared" si="12"/>
        <v>0.18687585388381697</v>
      </c>
      <c r="E71" s="93" t="s">
        <v>134</v>
      </c>
      <c r="F71" s="90">
        <f t="shared" si="13"/>
        <v>2</v>
      </c>
      <c r="G71" s="94">
        <f t="shared" ref="G71:G88" si="16">SUMIF($B$4:$B$64,E71,$F$4:$F$64)</f>
        <v>3219200074.887291</v>
      </c>
      <c r="H71" s="95">
        <f t="shared" ref="H71:H88" si="17">G71/12</f>
        <v>268266672.90727425</v>
      </c>
      <c r="I71" s="95">
        <f t="shared" si="14"/>
        <v>196641243.45312491</v>
      </c>
      <c r="J71" s="96">
        <f t="shared" ref="J71:J88" si="18">RANK(I71,$I$70:$I$88,0)</f>
        <v>2</v>
      </c>
      <c r="K71" s="97">
        <f t="shared" ref="K71:K87" si="19">H71/I71-1</f>
        <v>0.36424418497548472</v>
      </c>
      <c r="L71" s="25">
        <f>SUMIF(STM!I:I,'SUMMARY MT 2026'!E71,STM!J:J)/H71-1</f>
        <v>-8.1816509771146073E-2</v>
      </c>
      <c r="M71" s="25">
        <f>SUMIF(STM!I:I,'SUMMARY MT 2026'!E71,STM!K:K)/H71-1</f>
        <v>-0.69168978460441011</v>
      </c>
      <c r="N71" s="13"/>
      <c r="O71" s="1"/>
      <c r="P71" s="1"/>
      <c r="Q71" s="1"/>
      <c r="R71" s="1"/>
      <c r="S71" s="1"/>
      <c r="T71" s="1"/>
      <c r="U71" s="1"/>
      <c r="V71" s="1"/>
      <c r="W71" s="33"/>
      <c r="X71" s="1"/>
      <c r="Y71" s="1"/>
      <c r="Z71" s="1"/>
      <c r="AA71" s="1"/>
      <c r="AB71" s="1"/>
      <c r="AC71" s="1"/>
      <c r="AD71" s="1"/>
      <c r="AE71" s="1"/>
      <c r="AF71" s="1"/>
      <c r="AG71" s="1"/>
      <c r="AH71" s="1"/>
      <c r="AI71" s="1"/>
      <c r="AJ71" s="1"/>
      <c r="AK71" s="1"/>
      <c r="AL71" s="1"/>
      <c r="AM71" s="1"/>
      <c r="AN71" s="1"/>
      <c r="AO71" s="1"/>
      <c r="AP71" s="1"/>
      <c r="AQ71" s="1"/>
      <c r="AR71" s="1"/>
      <c r="AS71" s="1"/>
    </row>
    <row r="72" spans="1:62" s="3" customFormat="1" ht="25.05" customHeight="1" x14ac:dyDescent="0.45">
      <c r="A72" s="1"/>
      <c r="B72" s="90">
        <f t="shared" si="15"/>
        <v>3</v>
      </c>
      <c r="C72" s="91">
        <f>SUMIF(STM!I:I,'SUMMARY MT 2026'!E72,STM!C:C)</f>
        <v>156933490.3792707</v>
      </c>
      <c r="D72" s="98">
        <f t="shared" si="12"/>
        <v>0.14706043525048312</v>
      </c>
      <c r="E72" s="93" t="s">
        <v>135</v>
      </c>
      <c r="F72" s="90">
        <f t="shared" si="13"/>
        <v>3</v>
      </c>
      <c r="G72" s="94">
        <f t="shared" si="16"/>
        <v>2533323349.8729167</v>
      </c>
      <c r="H72" s="95">
        <f t="shared" si="17"/>
        <v>211110279.1560764</v>
      </c>
      <c r="I72" s="95">
        <f t="shared" si="14"/>
        <v>187827557.38078681</v>
      </c>
      <c r="J72" s="96">
        <f t="shared" si="18"/>
        <v>3</v>
      </c>
      <c r="K72" s="99">
        <f t="shared" si="19"/>
        <v>0.1239579649544611</v>
      </c>
      <c r="L72" s="25">
        <f>SUMIF(STM!I:I,'SUMMARY MT 2026'!E72,STM!J:J)/H72-1</f>
        <v>0.35969226029231161</v>
      </c>
      <c r="M72" s="25">
        <f>SUMIF(STM!I:I,'SUMMARY MT 2026'!E72,STM!K:K)/H72-1</f>
        <v>-0.87294807136299979</v>
      </c>
      <c r="N72" s="13"/>
      <c r="O72" s="1"/>
      <c r="P72" s="1"/>
      <c r="Q72" s="1"/>
      <c r="R72" s="1"/>
      <c r="S72" s="1"/>
      <c r="T72" s="1"/>
      <c r="U72" s="1"/>
      <c r="V72" s="1"/>
      <c r="W72" s="33"/>
      <c r="X72" s="1"/>
      <c r="Y72" s="1"/>
      <c r="Z72" s="1"/>
      <c r="AA72" s="1"/>
      <c r="AB72" s="1"/>
      <c r="AC72" s="1"/>
      <c r="AD72" s="1"/>
      <c r="AE72" s="1"/>
      <c r="AF72" s="1"/>
      <c r="AG72" s="1"/>
      <c r="AH72" s="1"/>
      <c r="AI72" s="1"/>
      <c r="AJ72" s="1"/>
      <c r="AK72" s="1"/>
      <c r="AL72" s="1"/>
      <c r="AM72" s="1"/>
      <c r="AN72" s="1"/>
      <c r="AO72" s="1"/>
      <c r="AP72" s="1"/>
      <c r="AQ72" s="1"/>
      <c r="AR72" s="1"/>
      <c r="AS72" s="1"/>
    </row>
    <row r="73" spans="1:62" s="3" customFormat="1" ht="25.05" customHeight="1" x14ac:dyDescent="0.45">
      <c r="A73" s="1"/>
      <c r="B73" s="90">
        <f t="shared" si="15"/>
        <v>4</v>
      </c>
      <c r="C73" s="91">
        <f>SUMIF(STM!I:I,'SUMMARY MT 2026'!E73,STM!C:C)</f>
        <v>101589387.50375</v>
      </c>
      <c r="D73" s="92">
        <f t="shared" si="12"/>
        <v>0.1085967297430044</v>
      </c>
      <c r="E73" s="93" t="s">
        <v>136</v>
      </c>
      <c r="F73" s="90">
        <f t="shared" si="13"/>
        <v>4</v>
      </c>
      <c r="G73" s="94">
        <f t="shared" si="16"/>
        <v>1870731789.343646</v>
      </c>
      <c r="H73" s="95">
        <f t="shared" si="17"/>
        <v>155894315.77863717</v>
      </c>
      <c r="I73" s="95">
        <f t="shared" si="14"/>
        <v>136015006.9748264</v>
      </c>
      <c r="J73" s="96">
        <f t="shared" si="18"/>
        <v>4</v>
      </c>
      <c r="K73" s="97">
        <f t="shared" si="19"/>
        <v>0.1461552607021519</v>
      </c>
      <c r="L73" s="25">
        <f>SUMIF(STM!I:I,'SUMMARY MT 2026'!E73,STM!J:J)/H73-1</f>
        <v>-7.0447778588230814E-2</v>
      </c>
      <c r="M73" s="25">
        <f>SUMIF(STM!I:I,'SUMMARY MT 2026'!E73,STM!K:K)/H73-1</f>
        <v>-0.62624123157423972</v>
      </c>
      <c r="N73" s="13"/>
      <c r="O73" s="1"/>
      <c r="P73" s="1"/>
      <c r="Q73" s="1"/>
      <c r="R73" s="1"/>
      <c r="S73" s="1"/>
      <c r="T73" s="1"/>
      <c r="U73" s="1"/>
      <c r="V73" s="1"/>
      <c r="W73" s="33"/>
      <c r="X73" s="1"/>
      <c r="Y73" s="1"/>
      <c r="Z73" s="1"/>
      <c r="AA73" s="1"/>
      <c r="AB73" s="1"/>
      <c r="AC73" s="1"/>
      <c r="AD73" s="1"/>
      <c r="AE73" s="1"/>
      <c r="AF73" s="1"/>
      <c r="AG73" s="1"/>
      <c r="AH73" s="1"/>
      <c r="AI73" s="1"/>
      <c r="AJ73" s="1"/>
      <c r="AK73" s="1"/>
      <c r="AL73" s="1"/>
      <c r="AM73" s="1"/>
      <c r="AN73" s="1"/>
      <c r="AO73" s="1"/>
      <c r="AP73" s="1"/>
      <c r="AQ73" s="1"/>
      <c r="AR73" s="1"/>
      <c r="AS73" s="1"/>
    </row>
    <row r="74" spans="1:62" s="3" customFormat="1" ht="25.05" customHeight="1" x14ac:dyDescent="0.45">
      <c r="A74" s="1"/>
      <c r="B74" s="90">
        <f t="shared" si="15"/>
        <v>7</v>
      </c>
      <c r="C74" s="91">
        <f>SUMIF(STM!I:I,'SUMMARY MT 2026'!E74,STM!C:C)</f>
        <v>76259232.173593774</v>
      </c>
      <c r="D74" s="98">
        <f t="shared" si="12"/>
        <v>8.1049445729483291E-2</v>
      </c>
      <c r="E74" s="93" t="s">
        <v>137</v>
      </c>
      <c r="F74" s="90">
        <f t="shared" si="13"/>
        <v>5</v>
      </c>
      <c r="G74" s="94">
        <f t="shared" si="16"/>
        <v>1396190981.0142713</v>
      </c>
      <c r="H74" s="95">
        <f t="shared" si="17"/>
        <v>116349248.41785593</v>
      </c>
      <c r="I74" s="95">
        <f t="shared" si="14"/>
        <v>88744853.867187515</v>
      </c>
      <c r="J74" s="96">
        <f t="shared" si="18"/>
        <v>5</v>
      </c>
      <c r="K74" s="99">
        <f t="shared" si="19"/>
        <v>0.31105346786620669</v>
      </c>
      <c r="L74" s="25">
        <f>SUMIF(STM!I:I,'SUMMARY MT 2026'!E74,STM!J:J)/H74-1</f>
        <v>-0.20246099853772914</v>
      </c>
      <c r="M74" s="25">
        <f>SUMIF(STM!I:I,'SUMMARY MT 2026'!E74,STM!K:K)/H74-1</f>
        <v>-0.48667136440256498</v>
      </c>
      <c r="N74" s="13"/>
      <c r="O74" s="1"/>
      <c r="P74" s="1"/>
      <c r="Q74" s="1"/>
      <c r="R74" s="1"/>
      <c r="S74" s="1"/>
      <c r="T74" s="1"/>
      <c r="U74" s="1"/>
      <c r="V74" s="1"/>
      <c r="W74" s="33"/>
      <c r="X74" s="1"/>
      <c r="Y74" s="1"/>
      <c r="Z74" s="1"/>
      <c r="AA74" s="1"/>
      <c r="AB74" s="1"/>
      <c r="AC74" s="1"/>
      <c r="AD74" s="1"/>
      <c r="AE74" s="1"/>
      <c r="AF74" s="1"/>
      <c r="AG74" s="1"/>
      <c r="AH74" s="1"/>
      <c r="AI74" s="1"/>
      <c r="AJ74" s="1"/>
      <c r="AK74" s="1"/>
      <c r="AL74" s="1"/>
      <c r="AM74" s="1"/>
      <c r="AN74" s="1"/>
      <c r="AO74" s="1"/>
      <c r="AP74" s="1"/>
      <c r="AQ74" s="1"/>
      <c r="AR74" s="1"/>
      <c r="AS74" s="1"/>
    </row>
    <row r="75" spans="1:62" s="3" customFormat="1" ht="25.05" customHeight="1" x14ac:dyDescent="0.45">
      <c r="A75" s="1"/>
      <c r="B75" s="90">
        <f t="shared" si="15"/>
        <v>5</v>
      </c>
      <c r="C75" s="91">
        <f>SUMIF(STM!I:I,'SUMMARY MT 2026'!E75,STM!C:C)</f>
        <v>85808280.243229166</v>
      </c>
      <c r="D75" s="92">
        <f t="shared" si="12"/>
        <v>5.5582796264071942E-2</v>
      </c>
      <c r="E75" s="93" t="s">
        <v>138</v>
      </c>
      <c r="F75" s="90">
        <f t="shared" si="13"/>
        <v>6</v>
      </c>
      <c r="G75" s="94">
        <f t="shared" si="16"/>
        <v>957492036.43500006</v>
      </c>
      <c r="H75" s="95">
        <f t="shared" si="17"/>
        <v>79791003.03625001</v>
      </c>
      <c r="I75" s="95">
        <f t="shared" si="14"/>
        <v>76053424.253472209</v>
      </c>
      <c r="J75" s="96">
        <f t="shared" si="18"/>
        <v>6</v>
      </c>
      <c r="K75" s="97">
        <f t="shared" si="19"/>
        <v>4.9144122299097592E-2</v>
      </c>
      <c r="L75" s="25">
        <f>SUMIF(STM!I:I,'SUMMARY MT 2026'!E75,STM!J:J)/H75-1</f>
        <v>0.6856309844288877</v>
      </c>
      <c r="M75" s="25">
        <f>SUMIF(STM!I:I,'SUMMARY MT 2026'!E75,STM!K:K)/H75-1</f>
        <v>-0.53480502716537437</v>
      </c>
      <c r="N75" s="13"/>
      <c r="O75" s="1"/>
      <c r="P75" s="1"/>
      <c r="Q75" s="1"/>
      <c r="R75" s="1"/>
      <c r="S75" s="1"/>
      <c r="T75" s="1"/>
      <c r="U75" s="1"/>
      <c r="V75" s="1"/>
      <c r="W75" s="33"/>
      <c r="X75" s="1"/>
      <c r="Y75" s="1"/>
      <c r="Z75" s="1"/>
      <c r="AA75" s="1"/>
      <c r="AB75" s="1"/>
      <c r="AC75" s="1"/>
      <c r="AD75" s="1"/>
      <c r="AE75" s="1"/>
      <c r="AF75" s="1"/>
      <c r="AG75" s="1"/>
      <c r="AH75" s="1"/>
      <c r="AI75" s="1"/>
      <c r="AJ75" s="1"/>
      <c r="AK75" s="1"/>
      <c r="AL75" s="1"/>
      <c r="AM75" s="1"/>
      <c r="AN75" s="1"/>
      <c r="AO75" s="1"/>
      <c r="AP75" s="1"/>
      <c r="AQ75" s="1"/>
      <c r="AR75" s="1"/>
      <c r="AS75" s="1"/>
    </row>
    <row r="76" spans="1:62" s="3" customFormat="1" ht="25.05" customHeight="1" x14ac:dyDescent="0.45">
      <c r="A76" s="1"/>
      <c r="B76" s="90">
        <f t="shared" si="15"/>
        <v>6</v>
      </c>
      <c r="C76" s="91">
        <f>SUMIF(STM!I:I,'SUMMARY MT 2026'!E76,STM!C:C)</f>
        <v>83359604.254583359</v>
      </c>
      <c r="D76" s="98">
        <f t="shared" si="12"/>
        <v>4.9481329029496743E-2</v>
      </c>
      <c r="E76" s="93" t="s">
        <v>139</v>
      </c>
      <c r="F76" s="90">
        <f t="shared" si="13"/>
        <v>7</v>
      </c>
      <c r="G76" s="94">
        <f t="shared" si="16"/>
        <v>852385660.35562491</v>
      </c>
      <c r="H76" s="95">
        <f t="shared" si="17"/>
        <v>71032138.362968743</v>
      </c>
      <c r="I76" s="95">
        <f t="shared" si="14"/>
        <v>62885644.021412037</v>
      </c>
      <c r="J76" s="96">
        <f t="shared" si="18"/>
        <v>8</v>
      </c>
      <c r="K76" s="99">
        <f t="shared" si="19"/>
        <v>0.1295445799804944</v>
      </c>
      <c r="L76" s="25">
        <f>SUMIF(STM!I:I,'SUMMARY MT 2026'!E76,STM!J:J)/H76-1</f>
        <v>0.47930016526078623</v>
      </c>
      <c r="M76" s="25">
        <f>SUMIF(STM!I:I,'SUMMARY MT 2026'!E76,STM!K:K)/H76-1</f>
        <v>-0.1322047187286205</v>
      </c>
      <c r="N76" s="13"/>
      <c r="O76" s="1"/>
      <c r="P76" s="1"/>
      <c r="Q76" s="1"/>
      <c r="R76" s="1"/>
      <c r="S76" s="1"/>
      <c r="T76" s="1"/>
      <c r="U76" s="1"/>
      <c r="V76" s="1"/>
      <c r="W76" s="33"/>
      <c r="X76" s="1"/>
      <c r="Y76" s="1"/>
      <c r="Z76" s="1"/>
      <c r="AA76" s="1"/>
      <c r="AB76" s="1"/>
      <c r="AC76" s="1"/>
      <c r="AD76" s="1"/>
      <c r="AE76" s="1"/>
      <c r="AF76" s="1"/>
      <c r="AG76" s="1"/>
      <c r="AH76" s="1"/>
      <c r="AI76" s="1"/>
      <c r="AJ76" s="1"/>
      <c r="AK76" s="1"/>
      <c r="AL76" s="1"/>
      <c r="AM76" s="1"/>
      <c r="AN76" s="1"/>
      <c r="AO76" s="1"/>
      <c r="AP76" s="1"/>
      <c r="AQ76" s="1"/>
      <c r="AR76" s="1"/>
      <c r="AS76" s="1"/>
    </row>
    <row r="77" spans="1:62" s="3" customFormat="1" ht="25.05" customHeight="1" x14ac:dyDescent="0.45">
      <c r="A77" s="1"/>
      <c r="B77" s="90">
        <f t="shared" si="15"/>
        <v>8</v>
      </c>
      <c r="C77" s="91">
        <f>SUMIF(STM!I:I,'SUMMARY MT 2026'!E77,STM!C:C)</f>
        <v>56037630.022083342</v>
      </c>
      <c r="D77" s="92">
        <f t="shared" si="12"/>
        <v>4.5949261920213758E-2</v>
      </c>
      <c r="E77" s="93" t="s">
        <v>140</v>
      </c>
      <c r="F77" s="90">
        <f t="shared" si="13"/>
        <v>8</v>
      </c>
      <c r="G77" s="94">
        <f t="shared" si="16"/>
        <v>791540824.24437499</v>
      </c>
      <c r="H77" s="95">
        <f t="shared" si="17"/>
        <v>65961735.353697918</v>
      </c>
      <c r="I77" s="95">
        <f t="shared" si="14"/>
        <v>63704762.290798619</v>
      </c>
      <c r="J77" s="96">
        <f t="shared" si="18"/>
        <v>7</v>
      </c>
      <c r="K77" s="97">
        <f t="shared" si="19"/>
        <v>3.5428639582653076E-2</v>
      </c>
      <c r="L77" s="25">
        <f>SUMIF(STM!I:I,'SUMMARY MT 2026'!E77,STM!J:J)/H77-1</f>
        <v>-0.15994413784687966</v>
      </c>
      <c r="M77" s="25">
        <f>SUMIF(STM!I:I,'SUMMARY MT 2026'!E77,STM!K:K)/H77-1</f>
        <v>-0.14096078160073211</v>
      </c>
      <c r="N77" s="13"/>
      <c r="O77" s="1"/>
      <c r="P77" s="1"/>
      <c r="Q77" s="1"/>
      <c r="R77" s="1"/>
      <c r="S77" s="1"/>
      <c r="T77" s="1"/>
      <c r="U77" s="1"/>
      <c r="V77" s="1"/>
      <c r="W77" s="33"/>
      <c r="X77" s="1"/>
      <c r="Y77" s="1"/>
      <c r="Z77" s="1"/>
      <c r="AA77" s="1"/>
      <c r="AB77" s="1"/>
      <c r="AC77" s="1"/>
      <c r="AD77" s="1"/>
      <c r="AE77" s="1"/>
      <c r="AF77" s="1"/>
      <c r="AG77" s="1"/>
      <c r="AH77" s="1"/>
      <c r="AI77" s="1"/>
      <c r="AJ77" s="1"/>
      <c r="AK77" s="1"/>
      <c r="AL77" s="1"/>
      <c r="AM77" s="1"/>
      <c r="AN77" s="1"/>
      <c r="AO77" s="1"/>
      <c r="AP77" s="1"/>
      <c r="AQ77" s="1"/>
      <c r="AR77" s="1"/>
      <c r="AS77" s="1"/>
    </row>
    <row r="78" spans="1:62" s="3" customFormat="1" ht="25.05" customHeight="1" x14ac:dyDescent="0.45">
      <c r="A78" s="1"/>
      <c r="B78" s="90">
        <f t="shared" si="15"/>
        <v>10</v>
      </c>
      <c r="C78" s="91">
        <f>SUMIF(STM!I:I,'SUMMARY MT 2026'!E78,STM!C:C)</f>
        <v>30317484.101875</v>
      </c>
      <c r="D78" s="98">
        <f t="shared" si="12"/>
        <v>2.9951481209293283E-2</v>
      </c>
      <c r="E78" s="93" t="s">
        <v>141</v>
      </c>
      <c r="F78" s="90">
        <f t="shared" si="13"/>
        <v>9</v>
      </c>
      <c r="G78" s="94">
        <f t="shared" si="16"/>
        <v>515956494.90322924</v>
      </c>
      <c r="H78" s="95">
        <f t="shared" si="17"/>
        <v>42996374.575269103</v>
      </c>
      <c r="I78" s="95">
        <f t="shared" si="14"/>
        <v>31655966.040798616</v>
      </c>
      <c r="J78" s="96">
        <f t="shared" si="18"/>
        <v>9</v>
      </c>
      <c r="K78" s="99">
        <f t="shared" si="19"/>
        <v>0.35823921847321993</v>
      </c>
      <c r="L78" s="25">
        <f>SUMIF(STM!I:I,'SUMMARY MT 2026'!E78,STM!J:J)/H78-1</f>
        <v>-0.45732064925112437</v>
      </c>
      <c r="M78" s="25">
        <f>SUMIF(STM!I:I,'SUMMARY MT 2026'!E78,STM!K:K)/H78-1</f>
        <v>-0.13244491115437163</v>
      </c>
      <c r="N78" s="13"/>
      <c r="O78" s="1"/>
      <c r="P78" s="1"/>
      <c r="Q78" s="1"/>
      <c r="R78" s="1"/>
      <c r="S78" s="1"/>
      <c r="T78" s="1"/>
      <c r="U78" s="1"/>
      <c r="V78" s="1"/>
      <c r="W78" s="33"/>
      <c r="X78" s="1"/>
      <c r="Y78" s="1"/>
      <c r="Z78" s="1"/>
      <c r="AA78" s="1"/>
      <c r="AB78" s="1"/>
      <c r="AC78" s="1"/>
      <c r="AD78" s="1"/>
      <c r="AE78" s="1"/>
      <c r="AF78" s="1"/>
      <c r="AG78" s="1"/>
      <c r="AH78" s="1"/>
      <c r="AI78" s="1"/>
      <c r="AJ78" s="1"/>
      <c r="AK78" s="1"/>
      <c r="AL78" s="1"/>
      <c r="AM78" s="1"/>
      <c r="AN78" s="1"/>
      <c r="AO78" s="1"/>
      <c r="AP78" s="1"/>
      <c r="AQ78" s="1"/>
      <c r="AR78" s="1"/>
      <c r="AS78" s="1"/>
    </row>
    <row r="79" spans="1:62" ht="25.05" customHeight="1" x14ac:dyDescent="0.45">
      <c r="B79" s="90">
        <f t="shared" si="15"/>
        <v>11</v>
      </c>
      <c r="C79" s="91">
        <f>SUMIF(STM!I:I,'SUMMARY MT 2026'!E79,STM!C:C)</f>
        <v>24784366.596666664</v>
      </c>
      <c r="D79" s="92">
        <f t="shared" si="12"/>
        <v>2.4058225683273388E-2</v>
      </c>
      <c r="E79" s="93" t="s">
        <v>142</v>
      </c>
      <c r="F79" s="90">
        <f t="shared" si="13"/>
        <v>10</v>
      </c>
      <c r="G79" s="94">
        <f t="shared" si="16"/>
        <v>414436859.07864571</v>
      </c>
      <c r="H79" s="95">
        <f t="shared" si="17"/>
        <v>34536404.923220478</v>
      </c>
      <c r="I79" s="95">
        <f t="shared" si="14"/>
        <v>28966063.23495369</v>
      </c>
      <c r="J79" s="96">
        <f t="shared" si="18"/>
        <v>10</v>
      </c>
      <c r="K79" s="97">
        <f t="shared" si="19"/>
        <v>0.19230579050676755</v>
      </c>
      <c r="L79" s="25">
        <f>SUMIF(STM!I:I,'SUMMARY MT 2026'!E79,STM!J:J)/H79-1</f>
        <v>4.4488562117384944E-2</v>
      </c>
      <c r="M79" s="25">
        <f>SUMIF(STM!I:I,'SUMMARY MT 2026'!E79,STM!K:K)/H79-1</f>
        <v>-0.60922819545409324</v>
      </c>
      <c r="N79" s="13"/>
      <c r="V79" s="1"/>
      <c r="W79" s="33"/>
    </row>
    <row r="80" spans="1:62" ht="25.05" customHeight="1" x14ac:dyDescent="0.45">
      <c r="B80" s="90">
        <f t="shared" si="15"/>
        <v>9</v>
      </c>
      <c r="C80" s="91">
        <f>SUMIF(STM!I:I,'SUMMARY MT 2026'!E80,STM!C:C)</f>
        <v>32263139.862812497</v>
      </c>
      <c r="D80" s="98">
        <f t="shared" si="12"/>
        <v>1.7646572570086793E-2</v>
      </c>
      <c r="E80" s="93" t="s">
        <v>143</v>
      </c>
      <c r="F80" s="90">
        <f t="shared" si="13"/>
        <v>11</v>
      </c>
      <c r="G80" s="94">
        <f t="shared" si="16"/>
        <v>303987093.88343751</v>
      </c>
      <c r="H80" s="95">
        <f t="shared" si="17"/>
        <v>25332257.823619794</v>
      </c>
      <c r="I80" s="95">
        <f t="shared" si="14"/>
        <v>20295508.92071759</v>
      </c>
      <c r="J80" s="96">
        <f t="shared" si="18"/>
        <v>11</v>
      </c>
      <c r="K80" s="99">
        <f t="shared" si="19"/>
        <v>0.24817061363564563</v>
      </c>
      <c r="L80" s="25">
        <f>SUMIF(STM!I:I,'SUMMARY MT 2026'!E80,STM!J:J)/H80-1</f>
        <v>0.92826368964947958</v>
      </c>
      <c r="M80" s="25">
        <f>SUMIF(STM!I:I,'SUMMARY MT 2026'!E80,STM!K:K)/H80-1</f>
        <v>-0.38106556088810606</v>
      </c>
      <c r="N80" s="13"/>
      <c r="V80" s="1"/>
      <c r="W80" s="33"/>
    </row>
    <row r="81" spans="2:23" ht="25.05" customHeight="1" x14ac:dyDescent="0.45">
      <c r="B81" s="90">
        <f t="shared" si="15"/>
        <v>12</v>
      </c>
      <c r="C81" s="91">
        <f>SUMIF(STM!I:I,'SUMMARY MT 2026'!E81,STM!C:C)</f>
        <v>17408829.120416667</v>
      </c>
      <c r="D81" s="92">
        <f t="shared" si="12"/>
        <v>1.325672139788887E-2</v>
      </c>
      <c r="E81" s="93" t="s">
        <v>144</v>
      </c>
      <c r="F81" s="90">
        <f t="shared" si="13"/>
        <v>12</v>
      </c>
      <c r="G81" s="94">
        <f t="shared" si="16"/>
        <v>228365717.82770836</v>
      </c>
      <c r="H81" s="95">
        <f t="shared" si="17"/>
        <v>19030476.485642362</v>
      </c>
      <c r="I81" s="95">
        <f t="shared" si="14"/>
        <v>15703135.31423611</v>
      </c>
      <c r="J81" s="96">
        <f t="shared" si="18"/>
        <v>12</v>
      </c>
      <c r="K81" s="97">
        <f t="shared" si="19"/>
        <v>0.21189024387949829</v>
      </c>
      <c r="L81" s="25">
        <f>SUMIF(STM!I:I,'SUMMARY MT 2026'!E81,STM!J:J)/H81-1</f>
        <v>4.9004938027672029E-2</v>
      </c>
      <c r="M81" s="25">
        <f>SUMIF(STM!I:I,'SUMMARY MT 2026'!E81,STM!K:K)/H81-1</f>
        <v>-0.21943129245438897</v>
      </c>
      <c r="N81" s="13"/>
      <c r="V81" s="1"/>
      <c r="W81" s="33"/>
    </row>
    <row r="82" spans="2:23" ht="25.05" customHeight="1" x14ac:dyDescent="0.45">
      <c r="B82" s="90">
        <f t="shared" si="15"/>
        <v>16</v>
      </c>
      <c r="C82" s="91">
        <f>SUMIF(STM!I:I,'SUMMARY MT 2026'!E82,STM!C:C)</f>
        <v>7270133.2621875033</v>
      </c>
      <c r="D82" s="98">
        <f t="shared" si="12"/>
        <v>1.0132068514768985E-2</v>
      </c>
      <c r="E82" s="93" t="s">
        <v>145</v>
      </c>
      <c r="F82" s="90">
        <f t="shared" si="13"/>
        <v>13</v>
      </c>
      <c r="G82" s="94">
        <f t="shared" si="16"/>
        <v>174539166.20916671</v>
      </c>
      <c r="H82" s="95">
        <f t="shared" si="17"/>
        <v>14544930.517430559</v>
      </c>
      <c r="I82" s="95">
        <f t="shared" si="14"/>
        <v>15361042.268807869</v>
      </c>
      <c r="J82" s="96">
        <f t="shared" si="18"/>
        <v>13</v>
      </c>
      <c r="K82" s="99">
        <f t="shared" si="19"/>
        <v>-5.3128670378995491E-2</v>
      </c>
      <c r="L82" s="25">
        <f>SUMIF(STM!I:I,'SUMMARY MT 2026'!E82,STM!J:J)/H82-1</f>
        <v>-0.15103723753942244</v>
      </c>
      <c r="M82" s="25">
        <f>SUMIF(STM!I:I,'SUMMARY MT 2026'!E82,STM!K:K)/H82-1</f>
        <v>-0.84928342353557995</v>
      </c>
      <c r="N82" s="13"/>
      <c r="V82" s="1"/>
      <c r="W82" s="33"/>
    </row>
    <row r="83" spans="2:23" ht="25.05" customHeight="1" x14ac:dyDescent="0.45">
      <c r="B83" s="90">
        <f t="shared" si="15"/>
        <v>14</v>
      </c>
      <c r="C83" s="91">
        <f>SUMIF(STM!I:I,'SUMMARY MT 2026'!E83,STM!C:C)</f>
        <v>7869279.3296875004</v>
      </c>
      <c r="D83" s="92">
        <f t="shared" si="12"/>
        <v>9.0534139083622359E-3</v>
      </c>
      <c r="E83" s="93" t="s">
        <v>146</v>
      </c>
      <c r="F83" s="90">
        <f t="shared" si="13"/>
        <v>15</v>
      </c>
      <c r="G83" s="94">
        <f t="shared" si="16"/>
        <v>155957819.729375</v>
      </c>
      <c r="H83" s="95">
        <f t="shared" si="17"/>
        <v>12996484.977447918</v>
      </c>
      <c r="I83" s="95">
        <f t="shared" si="14"/>
        <v>9780403.872395834</v>
      </c>
      <c r="J83" s="96">
        <f t="shared" si="18"/>
        <v>15</v>
      </c>
      <c r="K83" s="97">
        <f t="shared" si="19"/>
        <v>0.32882906953660029</v>
      </c>
      <c r="L83" s="25">
        <f>SUMIF(STM!I:I,'SUMMARY MT 2026'!E83,STM!J:J)/H83-1</f>
        <v>-0.18155285152426304</v>
      </c>
      <c r="M83" s="25">
        <f>SUMIF(STM!I:I,'SUMMARY MT 2026'!E83,STM!K:K)/H83-1</f>
        <v>-0.60746135603376106</v>
      </c>
      <c r="N83" s="13"/>
      <c r="V83" s="1"/>
      <c r="W83" s="33"/>
    </row>
    <row r="84" spans="2:23" ht="25.05" customHeight="1" x14ac:dyDescent="0.45">
      <c r="B84" s="90">
        <f t="shared" si="15"/>
        <v>13</v>
      </c>
      <c r="C84" s="91">
        <f>SUMIF(STM!I:I,'SUMMARY MT 2026'!E84,STM!C:C)</f>
        <v>15808961.900416663</v>
      </c>
      <c r="D84" s="98">
        <f t="shared" si="12"/>
        <v>9.3146532499528475E-3</v>
      </c>
      <c r="E84" s="93" t="s">
        <v>147</v>
      </c>
      <c r="F84" s="90">
        <f t="shared" si="13"/>
        <v>14</v>
      </c>
      <c r="G84" s="94">
        <f t="shared" si="16"/>
        <v>160458035.73124999</v>
      </c>
      <c r="H84" s="95">
        <f t="shared" si="17"/>
        <v>13371502.977604166</v>
      </c>
      <c r="I84" s="95">
        <f t="shared" si="14"/>
        <v>14955860.401041668</v>
      </c>
      <c r="J84" s="96">
        <f t="shared" si="18"/>
        <v>14</v>
      </c>
      <c r="K84" s="99">
        <f t="shared" si="19"/>
        <v>-0.1059355584334789</v>
      </c>
      <c r="L84" s="25">
        <f>SUMIF(STM!I:I,'SUMMARY MT 2026'!E84,STM!J:J)/H84-1</f>
        <v>0.48461473864101223</v>
      </c>
      <c r="M84" s="25">
        <f>SUMIF(STM!I:I,'SUMMARY MT 2026'!E84,STM!K:K)/H84-1</f>
        <v>-0.12003957803341569</v>
      </c>
      <c r="N84" s="13"/>
      <c r="V84" s="1"/>
      <c r="W84" s="33"/>
    </row>
    <row r="85" spans="2:23" ht="25.05" customHeight="1" x14ac:dyDescent="0.45">
      <c r="B85" s="90">
        <f t="shared" si="15"/>
        <v>15</v>
      </c>
      <c r="C85" s="91">
        <f>SUMIF(STM!I:I,'SUMMARY MT 2026'!E85,STM!C:C)</f>
        <v>7755496.5906249918</v>
      </c>
      <c r="D85" s="92">
        <f t="shared" si="12"/>
        <v>7.510863513365551E-3</v>
      </c>
      <c r="E85" s="93" t="s">
        <v>148</v>
      </c>
      <c r="F85" s="90">
        <f t="shared" si="13"/>
        <v>16</v>
      </c>
      <c r="G85" s="94">
        <f t="shared" si="16"/>
        <v>129385214.20604168</v>
      </c>
      <c r="H85" s="95">
        <f t="shared" si="17"/>
        <v>10782101.183836807</v>
      </c>
      <c r="I85" s="95">
        <f t="shared" si="14"/>
        <v>8828888.1571180541</v>
      </c>
      <c r="J85" s="96">
        <f t="shared" si="18"/>
        <v>16</v>
      </c>
      <c r="K85" s="97">
        <f t="shared" si="19"/>
        <v>0.22122978476559663</v>
      </c>
      <c r="L85" s="25">
        <f>SUMIF(STM!I:I,'SUMMARY MT 2026'!E85,STM!J:J)/H85-1</f>
        <v>-9.0977427276170308E-2</v>
      </c>
      <c r="M85" s="25">
        <f>SUMIF(STM!I:I,'SUMMARY MT 2026'!E85,STM!K:K)/H85-1</f>
        <v>-0.47043533292847817</v>
      </c>
      <c r="N85" s="13"/>
      <c r="V85" s="1"/>
      <c r="W85" s="33"/>
    </row>
    <row r="86" spans="2:23" ht="25.05" customHeight="1" x14ac:dyDescent="0.45">
      <c r="B86" s="90">
        <f t="shared" si="15"/>
        <v>17</v>
      </c>
      <c r="C86" s="91">
        <f>SUMIF(STM!I:I,'SUMMARY MT 2026'!E86,STM!C:C)</f>
        <v>1782071.2748437501</v>
      </c>
      <c r="D86" s="98">
        <f t="shared" si="12"/>
        <v>1.0937949276943141E-3</v>
      </c>
      <c r="E86" s="93" t="s">
        <v>149</v>
      </c>
      <c r="F86" s="90">
        <f t="shared" si="13"/>
        <v>17</v>
      </c>
      <c r="G86" s="94">
        <f t="shared" si="16"/>
        <v>18842159.861562502</v>
      </c>
      <c r="H86" s="95">
        <f t="shared" si="17"/>
        <v>1570179.9884635417</v>
      </c>
      <c r="I86" s="95">
        <f t="shared" si="14"/>
        <v>1059699.4878472222</v>
      </c>
      <c r="J86" s="96">
        <f t="shared" si="18"/>
        <v>18</v>
      </c>
      <c r="K86" s="99">
        <f t="shared" si="19"/>
        <v>0.48172194709026406</v>
      </c>
      <c r="L86" s="25">
        <f>SUMIF(STM!I:I,'SUMMARY MT 2026'!E86,STM!J:J)/H86-1</f>
        <v>3.6548317363675809E-2</v>
      </c>
      <c r="M86" s="25">
        <f>SUMIF(STM!I:I,'SUMMARY MT 2026'!E86,STM!K:K)/H86-1</f>
        <v>0.2333459469079624</v>
      </c>
      <c r="N86" s="13"/>
      <c r="V86" s="1"/>
      <c r="W86" s="33"/>
    </row>
    <row r="87" spans="2:23" ht="25.05" customHeight="1" x14ac:dyDescent="0.45">
      <c r="B87" s="90">
        <f t="shared" si="15"/>
        <v>19</v>
      </c>
      <c r="C87" s="91">
        <f>SUMIF(STM!I:I,'SUMMARY MT 2026'!E87,STM!C:C)</f>
        <v>0</v>
      </c>
      <c r="D87" s="92">
        <f t="shared" si="12"/>
        <v>7.9485127523241407E-4</v>
      </c>
      <c r="E87" s="93" t="s">
        <v>150</v>
      </c>
      <c r="F87" s="90">
        <f t="shared" si="13"/>
        <v>18</v>
      </c>
      <c r="G87" s="94">
        <f t="shared" si="16"/>
        <v>13692433.942500001</v>
      </c>
      <c r="H87" s="95">
        <f t="shared" si="17"/>
        <v>1141036.161875</v>
      </c>
      <c r="I87" s="95">
        <f t="shared" si="14"/>
        <v>1755487.3055555553</v>
      </c>
      <c r="J87" s="96">
        <f t="shared" si="18"/>
        <v>17</v>
      </c>
      <c r="K87" s="97">
        <f t="shared" si="19"/>
        <v>-0.35001742350173315</v>
      </c>
      <c r="L87" s="25">
        <f>SUMIF(STM!I:I,'SUMMARY MT 2026'!E87,STM!J:J)/H87-1</f>
        <v>-1</v>
      </c>
      <c r="M87" s="25">
        <f>SUMIF(STM!I:I,'SUMMARY MT 2026'!E87,STM!K:K)/H87-1</f>
        <v>-1</v>
      </c>
      <c r="N87" s="13"/>
      <c r="V87" s="1"/>
      <c r="W87" s="33"/>
    </row>
    <row r="88" spans="2:23" ht="25.05" customHeight="1" thickBot="1" x14ac:dyDescent="0.5">
      <c r="B88" s="100">
        <f t="shared" si="15"/>
        <v>18</v>
      </c>
      <c r="C88" s="101">
        <f>SUMIF(STM!I:I,'SUMMARY MT 2026'!E88,STM!C:C)</f>
        <v>735135.24</v>
      </c>
      <c r="D88" s="102">
        <f t="shared" si="12"/>
        <v>2.4098768136521153E-4</v>
      </c>
      <c r="E88" s="103" t="s">
        <v>151</v>
      </c>
      <c r="F88" s="104">
        <f t="shared" si="13"/>
        <v>19</v>
      </c>
      <c r="G88" s="10">
        <f t="shared" si="16"/>
        <v>4151352.5999999996</v>
      </c>
      <c r="H88" s="105">
        <f t="shared" si="17"/>
        <v>345946.05</v>
      </c>
      <c r="I88" s="105">
        <f t="shared" si="14"/>
        <v>0</v>
      </c>
      <c r="J88" s="106">
        <f t="shared" si="18"/>
        <v>19</v>
      </c>
      <c r="K88" s="107">
        <f>IFERROR(H88/I88-1,1)</f>
        <v>1</v>
      </c>
      <c r="L88" s="25">
        <f>SUMIF(STM!I:I,'SUMMARY MT 2026'!E88,STM!J:J)/H88-1</f>
        <v>-1</v>
      </c>
      <c r="M88" s="25">
        <f>SUMIF(STM!I:I,'SUMMARY MT 2026'!E88,STM!K:K)/H88-1</f>
        <v>3.2499993279298893</v>
      </c>
      <c r="N88" s="13"/>
      <c r="V88" s="1"/>
      <c r="W88" s="33"/>
    </row>
    <row r="89" spans="2:23" x14ac:dyDescent="0.3">
      <c r="F89" s="11">
        <f>SUM(G70:G88)</f>
        <v>17226409982.793751</v>
      </c>
      <c r="G89" s="11">
        <f>SUM(H70:H88)</f>
        <v>1435534165.2328126</v>
      </c>
      <c r="H89" s="11">
        <f>SUM(I70:I88)</f>
        <v>1200660666.95081</v>
      </c>
    </row>
    <row r="91" spans="2:23" x14ac:dyDescent="0.3">
      <c r="C91" s="1" t="s">
        <v>152</v>
      </c>
    </row>
  </sheetData>
  <mergeCells count="1">
    <mergeCell ref="J2:N2"/>
  </mergeCells>
  <phoneticPr fontId="16" type="noConversion"/>
  <conditionalFormatting sqref="B70:B88">
    <cfRule type="colorScale" priority="2">
      <colorScale>
        <cfvo type="num" val="1"/>
        <cfvo type="num" val="16"/>
        <color rgb="FF00B050"/>
        <color rgb="FFFFEF9C"/>
      </colorScale>
    </cfRule>
  </conditionalFormatting>
  <conditionalFormatting sqref="C4:C65">
    <cfRule type="colorScale" priority="12">
      <colorScale>
        <cfvo type="num" val="1"/>
        <cfvo type="num" val="58"/>
        <color rgb="FF00B050"/>
        <color rgb="FFFFC000"/>
      </colorScale>
    </cfRule>
  </conditionalFormatting>
  <conditionalFormatting sqref="F70:F88">
    <cfRule type="colorScale" priority="13">
      <colorScale>
        <cfvo type="num" val="1"/>
        <cfvo type="num" val="16"/>
        <color rgb="FF00B050"/>
        <color rgb="FFFFEF9C"/>
      </colorScale>
    </cfRule>
  </conditionalFormatting>
  <conditionalFormatting sqref="H4:H64">
    <cfRule type="colorScale" priority="4">
      <colorScale>
        <cfvo type="num" val="1"/>
        <cfvo type="num" val="58"/>
        <color rgb="FF00B050"/>
        <color rgb="FFFFC000"/>
      </colorScale>
    </cfRule>
  </conditionalFormatting>
  <conditionalFormatting sqref="H65">
    <cfRule type="colorScale" priority="1">
      <colorScale>
        <cfvo type="num" val="1"/>
        <cfvo type="num" val="58"/>
        <color rgb="FF00B050"/>
        <color rgb="FFFFC000"/>
      </colorScale>
    </cfRule>
  </conditionalFormatting>
  <conditionalFormatting sqref="J4:J65">
    <cfRule type="colorScale" priority="11">
      <colorScale>
        <cfvo type="num" val="1"/>
        <cfvo type="num" val="58"/>
        <color rgb="FF00B050"/>
        <color rgb="FFFFC000"/>
      </colorScale>
    </cfRule>
  </conditionalFormatting>
  <conditionalFormatting sqref="J70:J88">
    <cfRule type="colorScale" priority="10">
      <colorScale>
        <cfvo type="min"/>
        <cfvo type="max"/>
        <color rgb="FF00B050"/>
        <color rgb="FFFFEF9C"/>
      </colorScale>
    </cfRule>
  </conditionalFormatting>
  <conditionalFormatting sqref="K70:N88">
    <cfRule type="cellIs" dxfId="19" priority="9" operator="lessThan">
      <formula>0</formula>
    </cfRule>
  </conditionalFormatting>
  <conditionalFormatting sqref="K4:BJ65">
    <cfRule type="cellIs" dxfId="18" priority="14" operator="lessThan">
      <formula>0</formula>
    </cfRule>
  </conditionalFormatting>
  <printOptions horizontalCentered="1" verticalCentered="1"/>
  <pageMargins left="0.75" right="0" top="0.25" bottom="0" header="0" footer="0"/>
  <pageSetup paperSize="9" scale="35" fitToWidth="2"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64311-AA31-4A04-A1F4-09554FBD46C3}">
  <dimension ref="B2:K66"/>
  <sheetViews>
    <sheetView workbookViewId="0"/>
  </sheetViews>
  <sheetFormatPr defaultRowHeight="14.4" x14ac:dyDescent="0.3"/>
  <cols>
    <col min="2" max="2" width="25.5546875" bestFit="1" customWidth="1"/>
    <col min="3" max="3" width="18.88671875" bestFit="1" customWidth="1"/>
    <col min="4" max="4" width="23.88671875" bestFit="1" customWidth="1"/>
    <col min="5" max="5" width="13.88671875" bestFit="1" customWidth="1"/>
    <col min="6" max="6" width="15.88671875" bestFit="1" customWidth="1"/>
    <col min="7" max="10" width="15.77734375" bestFit="1" customWidth="1"/>
    <col min="11" max="11" width="18.5546875" bestFit="1" customWidth="1"/>
    <col min="12" max="13" width="17.5546875" bestFit="1" customWidth="1"/>
    <col min="14" max="14" width="14.109375" bestFit="1" customWidth="1"/>
    <col min="15" max="15" width="18.5546875" bestFit="1" customWidth="1"/>
    <col min="16" max="17" width="17.5546875" bestFit="1" customWidth="1"/>
    <col min="18" max="18" width="13.21875" bestFit="1" customWidth="1"/>
    <col min="19" max="19" width="10.44140625" bestFit="1" customWidth="1"/>
    <col min="20" max="20" width="11.21875" bestFit="1" customWidth="1"/>
    <col min="21" max="21" width="14.109375" bestFit="1" customWidth="1"/>
    <col min="22" max="22" width="11.21875" bestFit="1" customWidth="1"/>
    <col min="23" max="23" width="14.109375" bestFit="1" customWidth="1"/>
  </cols>
  <sheetData>
    <row r="2" spans="2:11" x14ac:dyDescent="0.3">
      <c r="B2" s="16"/>
      <c r="E2" s="16" t="s">
        <v>160</v>
      </c>
      <c r="F2" s="16"/>
      <c r="G2" s="16"/>
      <c r="H2" s="16"/>
      <c r="I2" s="16"/>
      <c r="J2" s="16" t="s">
        <v>161</v>
      </c>
      <c r="K2" s="17" t="s">
        <v>162</v>
      </c>
    </row>
    <row r="3" spans="2:11" x14ac:dyDescent="0.3">
      <c r="B3" s="16"/>
      <c r="C3" s="53" t="s">
        <v>236</v>
      </c>
      <c r="D3" s="53"/>
      <c r="E3" s="16"/>
      <c r="F3" s="16"/>
      <c r="G3" s="16"/>
      <c r="H3" s="16"/>
      <c r="I3" s="16"/>
      <c r="J3" s="16" t="s">
        <v>163</v>
      </c>
      <c r="K3" s="16" t="s">
        <v>164</v>
      </c>
    </row>
    <row r="4" spans="2:11" x14ac:dyDescent="0.3">
      <c r="B4" s="18" t="s">
        <v>167</v>
      </c>
      <c r="C4" s="52" t="s">
        <v>235</v>
      </c>
      <c r="D4" s="52" t="s">
        <v>234</v>
      </c>
      <c r="E4" s="18" t="s">
        <v>165</v>
      </c>
      <c r="F4" s="18" t="s">
        <v>166</v>
      </c>
      <c r="G4" s="18" t="s">
        <v>167</v>
      </c>
      <c r="H4" s="18" t="s">
        <v>168</v>
      </c>
      <c r="I4" s="18" t="s">
        <v>169</v>
      </c>
      <c r="J4" s="19" t="s">
        <v>170</v>
      </c>
      <c r="K4" s="19" t="s">
        <v>170</v>
      </c>
    </row>
    <row r="5" spans="2:11" x14ac:dyDescent="0.3">
      <c r="B5" s="21" t="str">
        <f>G5</f>
        <v>MTA00101-10100004</v>
      </c>
      <c r="C5" s="51">
        <f>D5/2</f>
        <v>29755681.212395839</v>
      </c>
      <c r="D5" s="50">
        <f>SUM(J5:K5)</f>
        <v>59511362.424791679</v>
      </c>
      <c r="E5" s="20" t="s">
        <v>171</v>
      </c>
      <c r="F5" s="20" t="s">
        <v>172</v>
      </c>
      <c r="G5" s="21" t="s">
        <v>57</v>
      </c>
      <c r="H5" s="20" t="s">
        <v>56</v>
      </c>
      <c r="I5" s="21" t="s">
        <v>139</v>
      </c>
      <c r="J5" s="22">
        <v>30102170.921666682</v>
      </c>
      <c r="K5" s="22">
        <v>29409191.503125001</v>
      </c>
    </row>
    <row r="6" spans="2:11" x14ac:dyDescent="0.3">
      <c r="B6" s="21" t="str">
        <f t="shared" ref="B6:B65" si="0">G6</f>
        <v>MTA00101-10100005</v>
      </c>
      <c r="C6" s="51">
        <f t="shared" ref="C6:C66" si="1">D6/2</f>
        <v>13828655.266250005</v>
      </c>
      <c r="D6" s="50">
        <f t="shared" ref="D6:D65" si="2">SUM(J6:K6)</f>
        <v>27657310.53250001</v>
      </c>
      <c r="E6" s="20"/>
      <c r="F6" s="20"/>
      <c r="G6" s="21" t="s">
        <v>85</v>
      </c>
      <c r="H6" s="20" t="s">
        <v>84</v>
      </c>
      <c r="I6" s="21" t="s">
        <v>140</v>
      </c>
      <c r="J6" s="22">
        <v>9607571.0725000016</v>
      </c>
      <c r="K6" s="22">
        <v>18049739.460000008</v>
      </c>
    </row>
    <row r="7" spans="2:11" x14ac:dyDescent="0.3">
      <c r="B7" s="21" t="str">
        <f t="shared" si="0"/>
        <v>MTA00101-10100006</v>
      </c>
      <c r="C7" s="51">
        <f t="shared" si="1"/>
        <v>17408829.120416667</v>
      </c>
      <c r="D7" s="50">
        <f t="shared" si="2"/>
        <v>34817658.240833335</v>
      </c>
      <c r="E7" s="20"/>
      <c r="F7" s="20"/>
      <c r="G7" s="21" t="s">
        <v>41</v>
      </c>
      <c r="H7" s="20" t="s">
        <v>40</v>
      </c>
      <c r="I7" s="21" t="s">
        <v>144</v>
      </c>
      <c r="J7" s="22">
        <v>19963063.806458335</v>
      </c>
      <c r="K7" s="22">
        <v>14854594.434375001</v>
      </c>
    </row>
    <row r="8" spans="2:11" x14ac:dyDescent="0.3">
      <c r="B8" s="21" t="str">
        <f t="shared" si="0"/>
        <v>MTA00101-10100007</v>
      </c>
      <c r="C8" s="51">
        <f t="shared" si="1"/>
        <v>1025135.3187500001</v>
      </c>
      <c r="D8" s="50">
        <f t="shared" si="2"/>
        <v>2050270.6375000002</v>
      </c>
      <c r="E8" s="20"/>
      <c r="F8" s="20"/>
      <c r="G8" s="21" t="s">
        <v>123</v>
      </c>
      <c r="H8" s="20" t="s">
        <v>122</v>
      </c>
      <c r="I8" s="21" t="s">
        <v>140</v>
      </c>
      <c r="J8" s="22">
        <v>2050270.6375000002</v>
      </c>
      <c r="K8" s="22"/>
    </row>
    <row r="9" spans="2:11" x14ac:dyDescent="0.3">
      <c r="B9" s="21" t="str">
        <f t="shared" si="0"/>
        <v>MTA00101-10100009</v>
      </c>
      <c r="C9" s="51">
        <f t="shared" si="1"/>
        <v>3178738.7987500001</v>
      </c>
      <c r="D9" s="50">
        <f t="shared" si="2"/>
        <v>6357477.5975000001</v>
      </c>
      <c r="E9" s="20"/>
      <c r="F9" s="20"/>
      <c r="G9" s="21" t="s">
        <v>87</v>
      </c>
      <c r="H9" s="20" t="s">
        <v>173</v>
      </c>
      <c r="I9" s="21" t="s">
        <v>146</v>
      </c>
      <c r="J9" s="22">
        <v>6357477.5975000001</v>
      </c>
      <c r="K9" s="22"/>
    </row>
    <row r="10" spans="2:11" x14ac:dyDescent="0.3">
      <c r="B10" s="21" t="str">
        <f t="shared" si="0"/>
        <v>MTA00101-10100010</v>
      </c>
      <c r="C10" s="51">
        <f t="shared" si="1"/>
        <v>11126665.64510417</v>
      </c>
      <c r="D10" s="50">
        <f t="shared" si="2"/>
        <v>22253331.29020834</v>
      </c>
      <c r="E10" s="20"/>
      <c r="F10" s="20"/>
      <c r="G10" s="21" t="s">
        <v>43</v>
      </c>
      <c r="H10" s="20" t="s">
        <v>174</v>
      </c>
      <c r="I10" s="21" t="s">
        <v>138</v>
      </c>
      <c r="J10" s="22">
        <v>11307384.578750001</v>
      </c>
      <c r="K10" s="22">
        <v>10945946.711458338</v>
      </c>
    </row>
    <row r="11" spans="2:11" x14ac:dyDescent="0.3">
      <c r="B11" s="21" t="str">
        <f t="shared" si="0"/>
        <v>MTA00101-10100011</v>
      </c>
      <c r="C11" s="51">
        <f t="shared" si="1"/>
        <v>7755496.5906249918</v>
      </c>
      <c r="D11" s="50">
        <f t="shared" si="2"/>
        <v>15510993.181249984</v>
      </c>
      <c r="E11" s="20"/>
      <c r="F11" s="20"/>
      <c r="G11" s="21" t="s">
        <v>71</v>
      </c>
      <c r="H11" s="20" t="s">
        <v>70</v>
      </c>
      <c r="I11" s="21" t="s">
        <v>148</v>
      </c>
      <c r="J11" s="22">
        <v>9801173.3574999832</v>
      </c>
      <c r="K11" s="22">
        <v>5709819.8237500004</v>
      </c>
    </row>
    <row r="12" spans="2:11" x14ac:dyDescent="0.3">
      <c r="B12" s="21" t="str">
        <f t="shared" si="0"/>
        <v>MTA00101-10100012</v>
      </c>
      <c r="C12" s="51">
        <f t="shared" si="1"/>
        <v>4690540.5309375003</v>
      </c>
      <c r="D12" s="50">
        <f t="shared" si="2"/>
        <v>9381081.0618750006</v>
      </c>
      <c r="E12" s="20"/>
      <c r="F12" s="20"/>
      <c r="G12" s="21" t="s">
        <v>101</v>
      </c>
      <c r="H12" s="20" t="s">
        <v>100</v>
      </c>
      <c r="I12" s="21" t="s">
        <v>146</v>
      </c>
      <c r="J12" s="22">
        <v>4279458.4725000001</v>
      </c>
      <c r="K12" s="22">
        <v>5101622.5893750014</v>
      </c>
    </row>
    <row r="13" spans="2:11" x14ac:dyDescent="0.3">
      <c r="B13" s="21" t="str">
        <f t="shared" si="0"/>
        <v>MTA00101-10100013</v>
      </c>
      <c r="C13" s="51">
        <f t="shared" si="1"/>
        <v>2374594.9237500001</v>
      </c>
      <c r="D13" s="50">
        <f t="shared" si="2"/>
        <v>4749189.8475000001</v>
      </c>
      <c r="E13" s="20"/>
      <c r="F13" s="20"/>
      <c r="G13" s="21" t="s">
        <v>109</v>
      </c>
      <c r="H13" s="20" t="s">
        <v>108</v>
      </c>
      <c r="I13" s="21" t="s">
        <v>140</v>
      </c>
      <c r="J13" s="22">
        <v>4749189.8475000001</v>
      </c>
      <c r="K13" s="22"/>
    </row>
    <row r="14" spans="2:11" x14ac:dyDescent="0.3">
      <c r="B14" s="21" t="str">
        <f t="shared" si="0"/>
        <v>MTA00101-10100014</v>
      </c>
      <c r="C14" s="51">
        <f t="shared" si="1"/>
        <v>10019730.879843753</v>
      </c>
      <c r="D14" s="50">
        <f t="shared" si="2"/>
        <v>20039461.759687506</v>
      </c>
      <c r="E14" s="20"/>
      <c r="F14" s="20"/>
      <c r="G14" s="21" t="s">
        <v>63</v>
      </c>
      <c r="H14" s="20" t="s">
        <v>62</v>
      </c>
      <c r="I14" s="21" t="s">
        <v>141</v>
      </c>
      <c r="J14" s="22">
        <v>6738378.4434375018</v>
      </c>
      <c r="K14" s="22">
        <v>13301083.316250002</v>
      </c>
    </row>
    <row r="15" spans="2:11" x14ac:dyDescent="0.3">
      <c r="B15" s="21" t="str">
        <f t="shared" si="0"/>
        <v>MTA00101-10100015</v>
      </c>
      <c r="C15" s="51">
        <f t="shared" si="1"/>
        <v>11268876.630625</v>
      </c>
      <c r="D15" s="50">
        <f t="shared" si="2"/>
        <v>22537753.26125</v>
      </c>
      <c r="E15" s="20"/>
      <c r="F15" s="20"/>
      <c r="G15" s="21" t="s">
        <v>67</v>
      </c>
      <c r="H15" s="20" t="s">
        <v>66</v>
      </c>
      <c r="I15" s="21" t="s">
        <v>141</v>
      </c>
      <c r="J15" s="22">
        <v>8164323.8737499984</v>
      </c>
      <c r="K15" s="22">
        <v>14373429.387500003</v>
      </c>
    </row>
    <row r="16" spans="2:11" x14ac:dyDescent="0.3">
      <c r="B16" s="21" t="str">
        <f t="shared" si="0"/>
        <v>MTA00101-10100016</v>
      </c>
      <c r="C16" s="51">
        <f t="shared" si="1"/>
        <v>2821217.17921875</v>
      </c>
      <c r="D16" s="50">
        <f t="shared" si="2"/>
        <v>5642434.3584375</v>
      </c>
      <c r="E16" s="20"/>
      <c r="F16" s="20"/>
      <c r="G16" s="21" t="s">
        <v>95</v>
      </c>
      <c r="H16" s="20" t="s">
        <v>94</v>
      </c>
      <c r="I16" s="21" t="s">
        <v>141</v>
      </c>
      <c r="J16" s="22">
        <v>1078378.4775</v>
      </c>
      <c r="K16" s="22">
        <v>4564055.8809374999</v>
      </c>
    </row>
    <row r="17" spans="2:11" x14ac:dyDescent="0.3">
      <c r="B17" s="21" t="str">
        <f t="shared" si="0"/>
        <v>MTA00101-10100017</v>
      </c>
      <c r="C17" s="51">
        <f t="shared" si="1"/>
        <v>6207659.4121874999</v>
      </c>
      <c r="D17" s="50">
        <f t="shared" si="2"/>
        <v>12415318.824375</v>
      </c>
      <c r="E17" s="20"/>
      <c r="F17" s="20"/>
      <c r="G17" s="21" t="s">
        <v>79</v>
      </c>
      <c r="H17" s="20" t="s">
        <v>78</v>
      </c>
      <c r="I17" s="21" t="s">
        <v>141</v>
      </c>
      <c r="J17" s="22">
        <v>7352163.8443749994</v>
      </c>
      <c r="K17" s="22">
        <v>5063154.9800000004</v>
      </c>
    </row>
    <row r="18" spans="2:11" x14ac:dyDescent="0.3">
      <c r="B18" s="21" t="str">
        <f t="shared" si="0"/>
        <v>MTA00101-10100019</v>
      </c>
      <c r="C18" s="51">
        <f t="shared" si="1"/>
        <v>13691622.191354169</v>
      </c>
      <c r="D18" s="50">
        <f t="shared" si="2"/>
        <v>27383244.382708337</v>
      </c>
      <c r="E18" s="20"/>
      <c r="F18" s="20"/>
      <c r="G18" s="21" t="s">
        <v>31</v>
      </c>
      <c r="H18" s="20" t="s">
        <v>175</v>
      </c>
      <c r="I18" s="21" t="s">
        <v>137</v>
      </c>
      <c r="J18" s="22">
        <v>19791891.952500004</v>
      </c>
      <c r="K18" s="22">
        <v>7591352.4302083319</v>
      </c>
    </row>
    <row r="19" spans="2:11" x14ac:dyDescent="0.3">
      <c r="B19" s="21" t="str">
        <f t="shared" si="0"/>
        <v>MTA00101-10100020</v>
      </c>
      <c r="C19" s="51">
        <f t="shared" si="1"/>
        <v>4901213.9443750018</v>
      </c>
      <c r="D19" s="50">
        <f t="shared" si="2"/>
        <v>9802427.8887500037</v>
      </c>
      <c r="E19" s="20"/>
      <c r="F19" s="20"/>
      <c r="G19" s="21" t="s">
        <v>83</v>
      </c>
      <c r="H19" s="20" t="s">
        <v>82</v>
      </c>
      <c r="I19" s="21" t="s">
        <v>145</v>
      </c>
      <c r="J19" s="22">
        <v>8184590.1237500031</v>
      </c>
      <c r="K19" s="22">
        <v>1617837.7650000001</v>
      </c>
    </row>
    <row r="20" spans="2:11" x14ac:dyDescent="0.3">
      <c r="B20" s="21" t="str">
        <f t="shared" si="0"/>
        <v>MTA00101-10100021</v>
      </c>
      <c r="C20" s="51">
        <f t="shared" si="1"/>
        <v>164513692.87479168</v>
      </c>
      <c r="D20" s="50">
        <f t="shared" si="2"/>
        <v>329027385.74958336</v>
      </c>
      <c r="E20" s="20"/>
      <c r="F20" s="20"/>
      <c r="G20" s="21" t="s">
        <v>9</v>
      </c>
      <c r="H20" s="20" t="s">
        <v>8</v>
      </c>
      <c r="I20" s="21" t="s">
        <v>134</v>
      </c>
      <c r="J20" s="22">
        <v>246318030.04208338</v>
      </c>
      <c r="K20" s="22">
        <v>82709355.707499981</v>
      </c>
    </row>
    <row r="21" spans="2:11" x14ac:dyDescent="0.3">
      <c r="B21" s="21" t="str">
        <f t="shared" si="0"/>
        <v>MTA00101-10100022</v>
      </c>
      <c r="C21" s="51">
        <f t="shared" si="1"/>
        <v>38167351.079791665</v>
      </c>
      <c r="D21" s="50">
        <f t="shared" si="2"/>
        <v>76334702.15958333</v>
      </c>
      <c r="E21" s="20"/>
      <c r="F21" s="20"/>
      <c r="G21" s="21" t="s">
        <v>13</v>
      </c>
      <c r="H21" s="20" t="s">
        <v>12</v>
      </c>
      <c r="I21" s="21" t="s">
        <v>136</v>
      </c>
      <c r="J21" s="22">
        <v>64703799.365625001</v>
      </c>
      <c r="K21" s="22">
        <v>11630902.793958331</v>
      </c>
    </row>
    <row r="22" spans="2:11" x14ac:dyDescent="0.3">
      <c r="B22" s="21" t="str">
        <f t="shared" si="0"/>
        <v>MTA00101-10100023</v>
      </c>
      <c r="C22" s="51">
        <f t="shared" si="1"/>
        <v>2368919.317812501</v>
      </c>
      <c r="D22" s="50">
        <f t="shared" si="2"/>
        <v>4737838.635625002</v>
      </c>
      <c r="E22" s="20"/>
      <c r="F22" s="20"/>
      <c r="G22" s="21" t="s">
        <v>97</v>
      </c>
      <c r="H22" s="20" t="s">
        <v>96</v>
      </c>
      <c r="I22" s="21" t="s">
        <v>145</v>
      </c>
      <c r="J22" s="22">
        <v>4163514.2681250018</v>
      </c>
      <c r="K22" s="22">
        <v>574324.36749999993</v>
      </c>
    </row>
    <row r="23" spans="2:11" x14ac:dyDescent="0.3">
      <c r="B23" s="21" t="str">
        <f t="shared" si="0"/>
        <v>MTA00101-10100024</v>
      </c>
      <c r="C23" s="51">
        <f t="shared" si="1"/>
        <v>1659594.8844791669</v>
      </c>
      <c r="D23" s="50">
        <f t="shared" si="2"/>
        <v>3319189.7689583339</v>
      </c>
      <c r="E23" s="20"/>
      <c r="F23" s="20"/>
      <c r="G23" s="21" t="s">
        <v>115</v>
      </c>
      <c r="H23" s="20" t="s">
        <v>114</v>
      </c>
      <c r="I23" s="21" t="s">
        <v>147</v>
      </c>
      <c r="J23" s="22">
        <v>2151081.1714583337</v>
      </c>
      <c r="K23" s="22">
        <v>1168108.5975000001</v>
      </c>
    </row>
    <row r="24" spans="2:11" x14ac:dyDescent="0.3">
      <c r="B24" s="21" t="str">
        <f t="shared" si="0"/>
        <v>MTA00101-10100025</v>
      </c>
      <c r="C24" s="51">
        <f t="shared" si="1"/>
        <v>5897611.4945833329</v>
      </c>
      <c r="D24" s="50">
        <f t="shared" si="2"/>
        <v>11795222.989166666</v>
      </c>
      <c r="E24" s="20"/>
      <c r="F24" s="20"/>
      <c r="G24" s="21" t="s">
        <v>99</v>
      </c>
      <c r="H24" s="20" t="s">
        <v>98</v>
      </c>
      <c r="I24" s="21" t="s">
        <v>140</v>
      </c>
      <c r="J24" s="22">
        <v>6727657.2322916659</v>
      </c>
      <c r="K24" s="22">
        <v>5067565.7568750009</v>
      </c>
    </row>
    <row r="25" spans="2:11" x14ac:dyDescent="0.3">
      <c r="B25" s="21" t="str">
        <f t="shared" si="0"/>
        <v>MTA00101-10100026</v>
      </c>
      <c r="C25" s="51">
        <f t="shared" si="1"/>
        <v>24784366.596666664</v>
      </c>
      <c r="D25" s="50">
        <f t="shared" si="2"/>
        <v>49568733.193333328</v>
      </c>
      <c r="E25" s="20"/>
      <c r="F25" s="20"/>
      <c r="G25" s="21" t="s">
        <v>27</v>
      </c>
      <c r="H25" s="20" t="s">
        <v>26</v>
      </c>
      <c r="I25" s="21" t="s">
        <v>142</v>
      </c>
      <c r="J25" s="22">
        <v>36072879.918958329</v>
      </c>
      <c r="K25" s="22">
        <v>13495853.274375003</v>
      </c>
    </row>
    <row r="26" spans="2:11" x14ac:dyDescent="0.3">
      <c r="B26" s="21" t="str">
        <f t="shared" si="0"/>
        <v>MTA00101-10100027</v>
      </c>
      <c r="C26" s="51">
        <f t="shared" si="1"/>
        <v>19863783.258125003</v>
      </c>
      <c r="D26" s="50">
        <f t="shared" si="2"/>
        <v>39727566.516250007</v>
      </c>
      <c r="E26" s="20"/>
      <c r="F26" s="20"/>
      <c r="G26" s="21" t="s">
        <v>55</v>
      </c>
      <c r="H26" s="20" t="s">
        <v>176</v>
      </c>
      <c r="I26" s="21" t="s">
        <v>133</v>
      </c>
      <c r="J26" s="22">
        <v>9505945.5162500013</v>
      </c>
      <c r="K26" s="22">
        <v>30221621.000000007</v>
      </c>
    </row>
    <row r="27" spans="2:11" x14ac:dyDescent="0.3">
      <c r="B27" s="21" t="str">
        <f t="shared" si="0"/>
        <v>MTA00101-10100028</v>
      </c>
      <c r="C27" s="51">
        <f t="shared" si="1"/>
        <v>2061892.505208333</v>
      </c>
      <c r="D27" s="50">
        <f t="shared" si="2"/>
        <v>4123785.010416666</v>
      </c>
      <c r="E27" s="20"/>
      <c r="F27" s="20"/>
      <c r="G27" s="21" t="s">
        <v>107</v>
      </c>
      <c r="H27" s="20" t="s">
        <v>176</v>
      </c>
      <c r="I27" s="21" t="s">
        <v>133</v>
      </c>
      <c r="J27" s="22">
        <v>2524054.713541666</v>
      </c>
      <c r="K27" s="22">
        <v>1599730.2968749998</v>
      </c>
    </row>
    <row r="28" spans="2:11" x14ac:dyDescent="0.3">
      <c r="B28" s="21" t="str">
        <f t="shared" si="0"/>
        <v>MTA00101-10100029</v>
      </c>
      <c r="C28" s="51">
        <f t="shared" si="1"/>
        <v>15883060.809687495</v>
      </c>
      <c r="D28" s="50">
        <f t="shared" si="2"/>
        <v>31766121.61937499</v>
      </c>
      <c r="E28" s="20"/>
      <c r="F28" s="20"/>
      <c r="G28" s="21" t="s">
        <v>33</v>
      </c>
      <c r="H28" s="20" t="s">
        <v>176</v>
      </c>
      <c r="I28" s="21" t="s">
        <v>133</v>
      </c>
      <c r="J28" s="22">
        <v>25143420.61562499</v>
      </c>
      <c r="K28" s="22">
        <v>6622701.0037500001</v>
      </c>
    </row>
    <row r="29" spans="2:11" x14ac:dyDescent="0.3">
      <c r="B29" s="21" t="str">
        <f t="shared" si="0"/>
        <v>MTA00101-10100030</v>
      </c>
      <c r="C29" s="51">
        <f t="shared" si="1"/>
        <v>3683514.4531250009</v>
      </c>
      <c r="D29" s="50">
        <f t="shared" si="2"/>
        <v>7367028.9062500019</v>
      </c>
      <c r="E29" s="20"/>
      <c r="F29" s="20"/>
      <c r="G29" s="21" t="s">
        <v>91</v>
      </c>
      <c r="H29" s="20" t="s">
        <v>174</v>
      </c>
      <c r="I29" s="21" t="s">
        <v>138</v>
      </c>
      <c r="J29" s="22">
        <v>3974054.9684375003</v>
      </c>
      <c r="K29" s="22">
        <v>3392973.9378125011</v>
      </c>
    </row>
    <row r="30" spans="2:11" x14ac:dyDescent="0.3">
      <c r="B30" s="21" t="str">
        <f t="shared" si="0"/>
        <v>MTA00101-10100031</v>
      </c>
      <c r="C30" s="51">
        <f t="shared" si="1"/>
        <v>57484048.475624993</v>
      </c>
      <c r="D30" s="50">
        <f t="shared" si="2"/>
        <v>114968096.95124999</v>
      </c>
      <c r="E30" s="20"/>
      <c r="F30" s="20"/>
      <c r="G30" s="21" t="s">
        <v>17</v>
      </c>
      <c r="H30" s="20" t="s">
        <v>176</v>
      </c>
      <c r="I30" s="21" t="s">
        <v>133</v>
      </c>
      <c r="J30" s="22">
        <v>61264694.337499999</v>
      </c>
      <c r="K30" s="22">
        <v>53703402.613749988</v>
      </c>
    </row>
    <row r="31" spans="2:11" x14ac:dyDescent="0.3">
      <c r="B31" s="21" t="str">
        <f t="shared" si="0"/>
        <v>MTA00101-10100032</v>
      </c>
      <c r="C31" s="51">
        <f t="shared" si="1"/>
        <v>63292514.193749994</v>
      </c>
      <c r="D31" s="50">
        <f t="shared" si="2"/>
        <v>126585028.38749999</v>
      </c>
      <c r="E31" s="20"/>
      <c r="F31" s="20"/>
      <c r="G31" s="21" t="s">
        <v>23</v>
      </c>
      <c r="H31" s="20" t="s">
        <v>174</v>
      </c>
      <c r="I31" s="21" t="s">
        <v>138</v>
      </c>
      <c r="J31" s="22">
        <v>108612422.81749998</v>
      </c>
      <c r="K31" s="22">
        <v>17972605.570000011</v>
      </c>
    </row>
    <row r="32" spans="2:11" x14ac:dyDescent="0.3">
      <c r="B32" s="21" t="str">
        <f t="shared" si="0"/>
        <v>MTA00101-10100033</v>
      </c>
      <c r="C32" s="51">
        <f t="shared" si="1"/>
        <v>10026392.794374999</v>
      </c>
      <c r="D32" s="50">
        <f t="shared" si="2"/>
        <v>20052785.588749997</v>
      </c>
      <c r="E32" s="20"/>
      <c r="F32" s="20"/>
      <c r="G32" s="21" t="s">
        <v>39</v>
      </c>
      <c r="H32" s="20" t="s">
        <v>176</v>
      </c>
      <c r="I32" s="21" t="s">
        <v>133</v>
      </c>
      <c r="J32" s="22">
        <v>14631705.015624998</v>
      </c>
      <c r="K32" s="22">
        <v>5421080.573125001</v>
      </c>
    </row>
    <row r="33" spans="2:11" x14ac:dyDescent="0.3">
      <c r="B33" s="21" t="str">
        <f t="shared" si="0"/>
        <v>MTA00101-10100034</v>
      </c>
      <c r="C33" s="51">
        <f t="shared" si="1"/>
        <v>33249106.516874984</v>
      </c>
      <c r="D33" s="50">
        <f t="shared" si="2"/>
        <v>66498213.033749968</v>
      </c>
      <c r="E33" s="20"/>
      <c r="F33" s="20"/>
      <c r="G33" s="21" t="s">
        <v>21</v>
      </c>
      <c r="H33" s="20" t="s">
        <v>177</v>
      </c>
      <c r="I33" s="21" t="s">
        <v>136</v>
      </c>
      <c r="J33" s="22">
        <v>40374416.701249972</v>
      </c>
      <c r="K33" s="22">
        <v>26123796.332499992</v>
      </c>
    </row>
    <row r="34" spans="2:11" x14ac:dyDescent="0.3">
      <c r="B34" s="21" t="str">
        <f t="shared" si="0"/>
        <v>MTA00101-10100035</v>
      </c>
      <c r="C34" s="51">
        <f t="shared" si="1"/>
        <v>10113472.424062505</v>
      </c>
      <c r="D34" s="50">
        <f t="shared" si="2"/>
        <v>20226944.848125011</v>
      </c>
      <c r="E34" s="20"/>
      <c r="F34" s="20"/>
      <c r="G34" s="21" t="s">
        <v>49</v>
      </c>
      <c r="H34" s="20" t="s">
        <v>48</v>
      </c>
      <c r="I34" s="21" t="s">
        <v>139</v>
      </c>
      <c r="J34" s="22">
        <v>18426405.61875001</v>
      </c>
      <c r="K34" s="22">
        <v>1800539.2293749999</v>
      </c>
    </row>
    <row r="35" spans="2:11" x14ac:dyDescent="0.3">
      <c r="B35" s="21" t="str">
        <f t="shared" si="0"/>
        <v>MTA00101-10100036</v>
      </c>
      <c r="C35" s="51">
        <f t="shared" si="1"/>
        <v>4804954.3395833327</v>
      </c>
      <c r="D35" s="50">
        <f t="shared" si="2"/>
        <v>9609908.6791666653</v>
      </c>
      <c r="E35" s="20"/>
      <c r="F35" s="20"/>
      <c r="G35" s="21" t="s">
        <v>53</v>
      </c>
      <c r="H35" s="20" t="s">
        <v>52</v>
      </c>
      <c r="I35" s="21" t="s">
        <v>136</v>
      </c>
      <c r="J35" s="22">
        <v>9618016.7937499993</v>
      </c>
      <c r="K35" s="22">
        <v>-8108.114583333333</v>
      </c>
    </row>
    <row r="36" spans="2:11" x14ac:dyDescent="0.3">
      <c r="B36" s="21" t="str">
        <f t="shared" si="0"/>
        <v>MTA00101-10100037</v>
      </c>
      <c r="C36" s="51">
        <f t="shared" si="1"/>
        <v>5612972.743125</v>
      </c>
      <c r="D36" s="50">
        <f t="shared" si="2"/>
        <v>11225945.48625</v>
      </c>
      <c r="E36" s="20"/>
      <c r="F36" s="20"/>
      <c r="G36" s="21" t="s">
        <v>75</v>
      </c>
      <c r="H36" s="20" t="s">
        <v>176</v>
      </c>
      <c r="I36" s="21" t="s">
        <v>133</v>
      </c>
      <c r="J36" s="22">
        <v>10252972.123749999</v>
      </c>
      <c r="K36" s="22">
        <v>972973.36250000005</v>
      </c>
    </row>
    <row r="37" spans="2:11" x14ac:dyDescent="0.3">
      <c r="B37" s="21" t="str">
        <f t="shared" si="0"/>
        <v>MTA00101-10100038</v>
      </c>
      <c r="C37" s="51">
        <f t="shared" si="1"/>
        <v>4377749.1649999991</v>
      </c>
      <c r="D37" s="50">
        <f t="shared" si="2"/>
        <v>8755498.3299999982</v>
      </c>
      <c r="E37" s="20"/>
      <c r="F37" s="20"/>
      <c r="G37" s="21" t="s">
        <v>69</v>
      </c>
      <c r="H37" s="20" t="s">
        <v>176</v>
      </c>
      <c r="I37" s="21" t="s">
        <v>133</v>
      </c>
      <c r="J37" s="22">
        <v>5500003.2406249978</v>
      </c>
      <c r="K37" s="22">
        <v>3255495.089375</v>
      </c>
    </row>
    <row r="38" spans="2:11" x14ac:dyDescent="0.3">
      <c r="B38" s="21" t="str">
        <f t="shared" si="0"/>
        <v>MTA00101-10100039</v>
      </c>
      <c r="C38" s="51">
        <f t="shared" si="1"/>
        <v>19025365.918750003</v>
      </c>
      <c r="D38" s="50">
        <f t="shared" si="2"/>
        <v>38050731.837500006</v>
      </c>
      <c r="E38" s="20"/>
      <c r="F38" s="20"/>
      <c r="G38" s="21" t="s">
        <v>45</v>
      </c>
      <c r="H38" s="20" t="s">
        <v>178</v>
      </c>
      <c r="I38" s="21" t="s">
        <v>139</v>
      </c>
      <c r="J38" s="22">
        <v>16251806.420000002</v>
      </c>
      <c r="K38" s="22">
        <v>21798925.417500004</v>
      </c>
    </row>
    <row r="39" spans="2:11" x14ac:dyDescent="0.3">
      <c r="B39" s="21" t="str">
        <f t="shared" si="0"/>
        <v>MTA00101-10100040</v>
      </c>
      <c r="C39" s="51">
        <f t="shared" si="1"/>
        <v>18735411.690937504</v>
      </c>
      <c r="D39" s="50">
        <f t="shared" si="2"/>
        <v>37470823.381875008</v>
      </c>
      <c r="E39" s="20"/>
      <c r="F39" s="20"/>
      <c r="G39" s="21" t="s">
        <v>37</v>
      </c>
      <c r="H39" s="20" t="s">
        <v>36</v>
      </c>
      <c r="I39" s="21" t="s">
        <v>140</v>
      </c>
      <c r="J39" s="22">
        <v>13539460.451250004</v>
      </c>
      <c r="K39" s="22">
        <v>23931362.930625007</v>
      </c>
    </row>
    <row r="40" spans="2:11" x14ac:dyDescent="0.3">
      <c r="B40" s="21" t="str">
        <f t="shared" si="0"/>
        <v>MTA00101-10100041</v>
      </c>
      <c r="C40" s="51">
        <f t="shared" si="1"/>
        <v>2465000.1559374998</v>
      </c>
      <c r="D40" s="50">
        <f t="shared" si="2"/>
        <v>4930000.3118749997</v>
      </c>
      <c r="E40" s="20"/>
      <c r="F40" s="20"/>
      <c r="G40" s="21" t="s">
        <v>103</v>
      </c>
      <c r="H40" s="20" t="s">
        <v>179</v>
      </c>
      <c r="I40" s="21" t="s">
        <v>140</v>
      </c>
      <c r="J40" s="22">
        <v>2620901.4906250001</v>
      </c>
      <c r="K40" s="22">
        <v>2309098.8212499996</v>
      </c>
    </row>
    <row r="41" spans="2:11" x14ac:dyDescent="0.3">
      <c r="B41" s="21" t="str">
        <f t="shared" si="0"/>
        <v>MTA00101-10100042</v>
      </c>
      <c r="C41" s="51">
        <f t="shared" si="1"/>
        <v>6039462.6056250008</v>
      </c>
      <c r="D41" s="50">
        <f t="shared" si="2"/>
        <v>12078925.211250002</v>
      </c>
      <c r="E41" s="20"/>
      <c r="F41" s="20"/>
      <c r="G41" s="21" t="s">
        <v>105</v>
      </c>
      <c r="H41" s="20" t="s">
        <v>104</v>
      </c>
      <c r="I41" s="21" t="s">
        <v>140</v>
      </c>
      <c r="J41" s="22">
        <v>5686488.3712499999</v>
      </c>
      <c r="K41" s="22">
        <v>6392436.8400000017</v>
      </c>
    </row>
    <row r="42" spans="2:11" x14ac:dyDescent="0.3">
      <c r="B42" s="21" t="str">
        <f t="shared" si="0"/>
        <v>MTA00101-10100043</v>
      </c>
      <c r="C42" s="51">
        <f t="shared" si="1"/>
        <v>7705585.9512499999</v>
      </c>
      <c r="D42" s="50">
        <f t="shared" si="2"/>
        <v>15411171.9025</v>
      </c>
      <c r="E42" s="20"/>
      <c r="F42" s="20"/>
      <c r="G42" s="21" t="s">
        <v>81</v>
      </c>
      <c r="H42" s="20" t="s">
        <v>174</v>
      </c>
      <c r="I42" s="21" t="s">
        <v>138</v>
      </c>
      <c r="J42" s="22">
        <v>10604324.631875001</v>
      </c>
      <c r="K42" s="22">
        <v>4806847.2706249999</v>
      </c>
    </row>
    <row r="43" spans="2:11" x14ac:dyDescent="0.3">
      <c r="B43" s="21" t="str">
        <f t="shared" si="0"/>
        <v>MTA00101-10100044</v>
      </c>
      <c r="C43" s="51">
        <f t="shared" si="1"/>
        <v>23554273.563750003</v>
      </c>
      <c r="D43" s="50">
        <f t="shared" si="2"/>
        <v>47108547.127500005</v>
      </c>
      <c r="E43" s="20"/>
      <c r="F43" s="20"/>
      <c r="G43" s="21" t="s">
        <v>51</v>
      </c>
      <c r="H43" s="20" t="s">
        <v>50</v>
      </c>
      <c r="I43" s="21" t="s">
        <v>139</v>
      </c>
      <c r="J43" s="22">
        <v>38475848.787500001</v>
      </c>
      <c r="K43" s="22">
        <v>8632698.3400000036</v>
      </c>
    </row>
    <row r="44" spans="2:11" x14ac:dyDescent="0.3">
      <c r="B44" s="21" t="str">
        <f t="shared" si="0"/>
        <v>MTA00101-10100045</v>
      </c>
      <c r="C44" s="51">
        <f t="shared" si="1"/>
        <v>24523244.401614599</v>
      </c>
      <c r="D44" s="50">
        <f t="shared" si="2"/>
        <v>49046488.803229198</v>
      </c>
      <c r="E44" s="20"/>
      <c r="F44" s="20"/>
      <c r="G44" s="21" t="s">
        <v>25</v>
      </c>
      <c r="H44" s="20" t="s">
        <v>175</v>
      </c>
      <c r="I44" s="21" t="s">
        <v>137</v>
      </c>
      <c r="J44" s="22">
        <v>30709914.855312515</v>
      </c>
      <c r="K44" s="22">
        <v>18336573.947916687</v>
      </c>
    </row>
    <row r="45" spans="2:11" x14ac:dyDescent="0.3">
      <c r="B45" s="21" t="str">
        <f t="shared" si="0"/>
        <v>MTA00101-10100046</v>
      </c>
      <c r="C45" s="51">
        <f t="shared" si="1"/>
        <v>25367975.56750001</v>
      </c>
      <c r="D45" s="50">
        <f t="shared" si="2"/>
        <v>50735951.13500002</v>
      </c>
      <c r="E45" s="20"/>
      <c r="F45" s="20"/>
      <c r="G45" s="21" t="s">
        <v>29</v>
      </c>
      <c r="H45" s="20" t="s">
        <v>28</v>
      </c>
      <c r="I45" s="21" t="s">
        <v>136</v>
      </c>
      <c r="J45" s="22">
        <v>30215674.676875014</v>
      </c>
      <c r="K45" s="22">
        <v>20520276.458125006</v>
      </c>
    </row>
    <row r="46" spans="2:11" x14ac:dyDescent="0.3">
      <c r="B46" s="21" t="str">
        <f t="shared" si="0"/>
        <v>MTA00101-10100047</v>
      </c>
      <c r="C46" s="51">
        <f t="shared" si="1"/>
        <v>60978746.733749986</v>
      </c>
      <c r="D46" s="50">
        <f t="shared" si="2"/>
        <v>121957493.46749997</v>
      </c>
      <c r="E46" s="20"/>
      <c r="F46" s="20"/>
      <c r="G46" s="21" t="s">
        <v>15</v>
      </c>
      <c r="H46" s="20" t="s">
        <v>176</v>
      </c>
      <c r="I46" s="21" t="s">
        <v>133</v>
      </c>
      <c r="J46" s="22">
        <v>80992642.938749984</v>
      </c>
      <c r="K46" s="22">
        <v>40964850.528749987</v>
      </c>
    </row>
    <row r="47" spans="2:11" x14ac:dyDescent="0.3">
      <c r="B47" s="21" t="str">
        <f t="shared" si="0"/>
        <v>MTA00101-10100048</v>
      </c>
      <c r="C47" s="51">
        <f t="shared" si="1"/>
        <v>46008559.760937497</v>
      </c>
      <c r="D47" s="50">
        <f t="shared" si="2"/>
        <v>92017119.521874994</v>
      </c>
      <c r="E47" s="20"/>
      <c r="F47" s="20"/>
      <c r="G47" s="21" t="s">
        <v>19</v>
      </c>
      <c r="H47" s="20" t="s">
        <v>176</v>
      </c>
      <c r="I47" s="21" t="s">
        <v>133</v>
      </c>
      <c r="J47" s="22">
        <v>57946410.414375015</v>
      </c>
      <c r="K47" s="22">
        <v>34070709.107499987</v>
      </c>
    </row>
    <row r="48" spans="2:11" x14ac:dyDescent="0.3">
      <c r="B48" s="21" t="str">
        <f t="shared" si="0"/>
        <v>MTA00101-10100049</v>
      </c>
      <c r="C48" s="51">
        <f t="shared" si="1"/>
        <v>735135.24</v>
      </c>
      <c r="D48" s="50">
        <f t="shared" si="2"/>
        <v>1470270.48</v>
      </c>
      <c r="E48" s="20"/>
      <c r="F48" s="20"/>
      <c r="G48" s="21" t="s">
        <v>125</v>
      </c>
      <c r="H48" s="20" t="s">
        <v>124</v>
      </c>
      <c r="I48" s="21" t="s">
        <v>151</v>
      </c>
      <c r="J48" s="22"/>
      <c r="K48" s="22">
        <v>1470270.48</v>
      </c>
    </row>
    <row r="49" spans="2:11" x14ac:dyDescent="0.3">
      <c r="B49" s="21" t="str">
        <f t="shared" si="0"/>
        <v>MTA00101-10100050</v>
      </c>
      <c r="C49" s="51">
        <f t="shared" si="1"/>
        <v>156933490.3792707</v>
      </c>
      <c r="D49" s="50">
        <f t="shared" si="2"/>
        <v>313866980.75854141</v>
      </c>
      <c r="E49" s="20"/>
      <c r="F49" s="20"/>
      <c r="G49" s="21" t="s">
        <v>11</v>
      </c>
      <c r="H49" s="20" t="s">
        <v>10</v>
      </c>
      <c r="I49" s="21" t="s">
        <v>135</v>
      </c>
      <c r="J49" s="22">
        <v>287045012.63666642</v>
      </c>
      <c r="K49" s="22">
        <v>26821968.121874999</v>
      </c>
    </row>
    <row r="50" spans="2:11" x14ac:dyDescent="0.3">
      <c r="B50" s="21" t="str">
        <f t="shared" si="0"/>
        <v>MTA00101-10100051</v>
      </c>
      <c r="C50" s="51">
        <f t="shared" si="1"/>
        <v>4994188.6115625007</v>
      </c>
      <c r="D50" s="50">
        <f t="shared" si="2"/>
        <v>9988377.2231250014</v>
      </c>
      <c r="E50" s="20"/>
      <c r="F50" s="20"/>
      <c r="G50" s="21" t="s">
        <v>65</v>
      </c>
      <c r="H50" s="20" t="s">
        <v>64</v>
      </c>
      <c r="I50" s="21" t="s">
        <v>137</v>
      </c>
      <c r="J50" s="22">
        <v>6809187.6262499997</v>
      </c>
      <c r="K50" s="22">
        <v>3179189.5968750012</v>
      </c>
    </row>
    <row r="51" spans="2:11" x14ac:dyDescent="0.3">
      <c r="B51" s="21" t="str">
        <f t="shared" si="0"/>
        <v>MTA00101-10100052</v>
      </c>
      <c r="C51" s="51">
        <f t="shared" si="1"/>
        <v>910811.13562499988</v>
      </c>
      <c r="D51" s="50">
        <f t="shared" si="2"/>
        <v>1821622.2712499998</v>
      </c>
      <c r="E51" s="20"/>
      <c r="F51" s="20"/>
      <c r="G51" s="21" t="s">
        <v>117</v>
      </c>
      <c r="H51" s="20" t="s">
        <v>116</v>
      </c>
      <c r="I51" s="21" t="s">
        <v>139</v>
      </c>
      <c r="J51" s="22">
        <v>1821622.2712499998</v>
      </c>
      <c r="K51" s="22"/>
    </row>
    <row r="52" spans="2:11" x14ac:dyDescent="0.3">
      <c r="B52" s="21" t="str">
        <f t="shared" si="0"/>
        <v>MTA00101-10100053</v>
      </c>
      <c r="C52" s="51">
        <f t="shared" si="1"/>
        <v>5361218.081249998</v>
      </c>
      <c r="D52" s="50">
        <f t="shared" si="2"/>
        <v>10722436.162499996</v>
      </c>
      <c r="E52" s="20"/>
      <c r="F52" s="20"/>
      <c r="G52" s="21" t="s">
        <v>93</v>
      </c>
      <c r="H52" s="20" t="s">
        <v>92</v>
      </c>
      <c r="I52" s="21" t="s">
        <v>140</v>
      </c>
      <c r="J52" s="22">
        <v>9808922.3887499962</v>
      </c>
      <c r="K52" s="22">
        <v>913513.77375000005</v>
      </c>
    </row>
    <row r="53" spans="2:11" x14ac:dyDescent="0.3">
      <c r="B53" s="21" t="str">
        <f t="shared" si="0"/>
        <v>MTA00101-10100054</v>
      </c>
      <c r="C53" s="51">
        <f t="shared" si="1"/>
        <v>7513285.9310416672</v>
      </c>
      <c r="D53" s="50">
        <f t="shared" si="2"/>
        <v>15026571.862083334</v>
      </c>
      <c r="E53" s="20"/>
      <c r="F53" s="20"/>
      <c r="G53" s="21" t="s">
        <v>77</v>
      </c>
      <c r="H53" s="20" t="s">
        <v>176</v>
      </c>
      <c r="I53" s="21" t="s">
        <v>133</v>
      </c>
      <c r="J53" s="22">
        <v>10334680.942083335</v>
      </c>
      <c r="K53" s="22">
        <v>4691890.9200000009</v>
      </c>
    </row>
    <row r="54" spans="2:11" x14ac:dyDescent="0.3">
      <c r="B54" s="21" t="str">
        <f t="shared" si="0"/>
        <v>MTA00101-10100055</v>
      </c>
      <c r="C54" s="51">
        <f t="shared" si="1"/>
        <v>1782071.2748437501</v>
      </c>
      <c r="D54" s="50">
        <f t="shared" si="2"/>
        <v>3564142.5496875001</v>
      </c>
      <c r="E54" s="20"/>
      <c r="F54" s="20"/>
      <c r="G54" s="21" t="s">
        <v>119</v>
      </c>
      <c r="H54" s="20" t="s">
        <v>118</v>
      </c>
      <c r="I54" s="21" t="s">
        <v>149</v>
      </c>
      <c r="J54" s="22">
        <v>1627567.425</v>
      </c>
      <c r="K54" s="22">
        <v>1936575.1246875003</v>
      </c>
    </row>
    <row r="55" spans="2:11" x14ac:dyDescent="0.3">
      <c r="B55" s="21" t="str">
        <f t="shared" si="0"/>
        <v>MTA00101-10100056</v>
      </c>
      <c r="C55" s="51">
        <f t="shared" si="1"/>
        <v>977567.96937499987</v>
      </c>
      <c r="D55" s="50">
        <f t="shared" si="2"/>
        <v>1955135.9387499997</v>
      </c>
      <c r="E55" s="20"/>
      <c r="F55" s="20"/>
      <c r="G55" s="21" t="s">
        <v>113</v>
      </c>
      <c r="H55" s="20" t="s">
        <v>112</v>
      </c>
      <c r="I55" s="21" t="s">
        <v>147</v>
      </c>
      <c r="J55" s="22">
        <v>1955135.9387499997</v>
      </c>
      <c r="K55" s="22"/>
    </row>
    <row r="56" spans="2:11" x14ac:dyDescent="0.3">
      <c r="B56" s="21" t="str">
        <f t="shared" si="0"/>
        <v>MTA00101-10100057</v>
      </c>
      <c r="C56" s="51">
        <f t="shared" si="1"/>
        <v>13062837.876354171</v>
      </c>
      <c r="D56" s="50">
        <f t="shared" si="2"/>
        <v>26125675.752708342</v>
      </c>
      <c r="E56" s="20"/>
      <c r="F56" s="20"/>
      <c r="G56" s="21" t="s">
        <v>59</v>
      </c>
      <c r="H56" s="20" t="s">
        <v>175</v>
      </c>
      <c r="I56" s="21" t="s">
        <v>137</v>
      </c>
      <c r="J56" s="22">
        <v>20081892.463958342</v>
      </c>
      <c r="K56" s="22">
        <v>6043783.2887500003</v>
      </c>
    </row>
    <row r="57" spans="2:11" x14ac:dyDescent="0.3">
      <c r="B57" s="21" t="str">
        <f t="shared" si="0"/>
        <v>MTA00101-10100058</v>
      </c>
      <c r="C57" s="51">
        <f t="shared" si="1"/>
        <v>13171799.046562497</v>
      </c>
      <c r="D57" s="50">
        <f t="shared" si="2"/>
        <v>26343598.093124993</v>
      </c>
      <c r="E57" s="20"/>
      <c r="F57" s="20"/>
      <c r="G57" s="21" t="s">
        <v>89</v>
      </c>
      <c r="H57" s="20" t="s">
        <v>88</v>
      </c>
      <c r="I57" s="21" t="s">
        <v>147</v>
      </c>
      <c r="J57" s="22">
        <v>15745313.288124993</v>
      </c>
      <c r="K57" s="22">
        <v>10598284.805</v>
      </c>
    </row>
    <row r="58" spans="2:11" x14ac:dyDescent="0.3">
      <c r="B58" s="21" t="str">
        <f t="shared" si="0"/>
        <v>MTA00101-10100059</v>
      </c>
      <c r="C58" s="51">
        <f t="shared" si="1"/>
        <v>310540.48499999999</v>
      </c>
      <c r="D58" s="50">
        <f t="shared" si="2"/>
        <v>621080.97</v>
      </c>
      <c r="E58" s="20"/>
      <c r="F58" s="20"/>
      <c r="G58" s="21" t="s">
        <v>111</v>
      </c>
      <c r="H58" s="20" t="s">
        <v>110</v>
      </c>
      <c r="I58" s="21" t="s">
        <v>140</v>
      </c>
      <c r="J58" s="22">
        <v>621080.97</v>
      </c>
      <c r="K58" s="22"/>
    </row>
    <row r="59" spans="2:11" x14ac:dyDescent="0.3">
      <c r="B59" s="21" t="str">
        <f t="shared" si="0"/>
        <v>MTA00101-10100061</v>
      </c>
      <c r="C59" s="51">
        <f t="shared" si="1"/>
        <v>11240986.153437505</v>
      </c>
      <c r="D59" s="50">
        <f t="shared" si="2"/>
        <v>22481972.306875009</v>
      </c>
      <c r="E59" s="20"/>
      <c r="F59" s="20"/>
      <c r="G59" s="21" t="s">
        <v>73</v>
      </c>
      <c r="H59" s="20" t="s">
        <v>72</v>
      </c>
      <c r="I59" s="21" t="s">
        <v>143</v>
      </c>
      <c r="J59" s="22">
        <v>19401973.19687501</v>
      </c>
      <c r="K59" s="22">
        <v>3079999.1100000008</v>
      </c>
    </row>
    <row r="60" spans="2:11" x14ac:dyDescent="0.3">
      <c r="B60" s="21" t="str">
        <f t="shared" si="0"/>
        <v>MTA00101-10100062</v>
      </c>
      <c r="C60" s="51">
        <f t="shared" si="1"/>
        <v>21022153.709374994</v>
      </c>
      <c r="D60" s="50">
        <f t="shared" si="2"/>
        <v>42044307.418749988</v>
      </c>
      <c r="E60" s="20"/>
      <c r="F60" s="20"/>
      <c r="G60" s="21" t="s">
        <v>61</v>
      </c>
      <c r="H60" s="20" t="s">
        <v>60</v>
      </c>
      <c r="I60" s="21" t="s">
        <v>143</v>
      </c>
      <c r="J60" s="22">
        <v>29445299.74124999</v>
      </c>
      <c r="K60" s="22">
        <v>12599007.677500002</v>
      </c>
    </row>
    <row r="61" spans="2:11" x14ac:dyDescent="0.3">
      <c r="B61" s="21" t="str">
        <f t="shared" si="0"/>
        <v>MTA00101-10100063</v>
      </c>
      <c r="C61" s="51">
        <f t="shared" si="1"/>
        <v>8293377.4065624997</v>
      </c>
      <c r="D61" s="50">
        <f t="shared" si="2"/>
        <v>16586754.813124999</v>
      </c>
      <c r="E61" s="20"/>
      <c r="F61" s="20"/>
      <c r="G61" s="21" t="s">
        <v>47</v>
      </c>
      <c r="H61" s="20" t="s">
        <v>175</v>
      </c>
      <c r="I61" s="21" t="s">
        <v>137</v>
      </c>
      <c r="J61" s="22">
        <v>6583513.6906250007</v>
      </c>
      <c r="K61" s="22">
        <v>10003241.122499999</v>
      </c>
    </row>
    <row r="62" spans="2:11" x14ac:dyDescent="0.3">
      <c r="B62" s="21" t="str">
        <f t="shared" si="0"/>
        <v>MTA00101-10100064</v>
      </c>
      <c r="C62" s="51">
        <f t="shared" si="1"/>
        <v>46080386.673749991</v>
      </c>
      <c r="D62" s="50">
        <f t="shared" si="2"/>
        <v>92160773.347499982</v>
      </c>
      <c r="E62" s="20"/>
      <c r="F62" s="20"/>
      <c r="G62" s="21" t="s">
        <v>35</v>
      </c>
      <c r="H62" s="20" t="s">
        <v>176</v>
      </c>
      <c r="I62" s="21" t="s">
        <v>133</v>
      </c>
      <c r="J62" s="22">
        <v>81782389.987499982</v>
      </c>
      <c r="K62" s="22">
        <v>10378383.360000001</v>
      </c>
    </row>
    <row r="63" spans="2:11" x14ac:dyDescent="0.3">
      <c r="B63" s="21" t="str">
        <f t="shared" si="0"/>
        <v>MTA00101-10100066</v>
      </c>
      <c r="C63" s="51">
        <f t="shared" si="1"/>
        <v>11693961.686145833</v>
      </c>
      <c r="D63" s="50">
        <f t="shared" si="2"/>
        <v>23387923.372291666</v>
      </c>
      <c r="E63" s="20"/>
      <c r="F63" s="20"/>
      <c r="G63" s="21" t="s">
        <v>129</v>
      </c>
      <c r="H63" s="20" t="s">
        <v>175</v>
      </c>
      <c r="I63" s="21" t="s">
        <v>137</v>
      </c>
      <c r="J63" s="22">
        <v>8816662.8154166676</v>
      </c>
      <c r="K63" s="22">
        <v>14571260.556874998</v>
      </c>
    </row>
    <row r="64" spans="2:11" x14ac:dyDescent="0.3">
      <c r="B64" s="21" t="str">
        <f t="shared" si="0"/>
        <v>MTA00101-10100060</v>
      </c>
      <c r="C64" s="51">
        <f t="shared" si="1"/>
        <v>0</v>
      </c>
      <c r="D64" s="50">
        <f t="shared" si="2"/>
        <v>0</v>
      </c>
      <c r="E64" s="20"/>
      <c r="F64" s="20"/>
      <c r="G64" s="21" t="s">
        <v>127</v>
      </c>
      <c r="H64" s="20" t="s">
        <v>126</v>
      </c>
      <c r="I64" s="21" t="s">
        <v>147</v>
      </c>
      <c r="J64" s="22">
        <v>0</v>
      </c>
      <c r="K64" s="22">
        <v>0</v>
      </c>
    </row>
    <row r="65" spans="2:11" x14ac:dyDescent="0.3">
      <c r="B65" s="21" t="str">
        <f t="shared" si="0"/>
        <v>MTA00101-10100008</v>
      </c>
      <c r="C65" s="51">
        <f t="shared" si="1"/>
        <v>0</v>
      </c>
      <c r="D65" s="50">
        <f t="shared" si="2"/>
        <v>0</v>
      </c>
      <c r="E65" s="20"/>
      <c r="F65" s="20"/>
      <c r="G65" s="21" t="s">
        <v>121</v>
      </c>
      <c r="H65" s="20" t="s">
        <v>120</v>
      </c>
      <c r="I65" s="21" t="s">
        <v>150</v>
      </c>
      <c r="J65" s="22">
        <v>0</v>
      </c>
      <c r="K65" s="22">
        <v>0</v>
      </c>
    </row>
    <row r="66" spans="2:11" x14ac:dyDescent="0.3">
      <c r="B66" s="20"/>
      <c r="C66" s="51">
        <f t="shared" si="1"/>
        <v>1146387093.5814478</v>
      </c>
      <c r="D66" s="50">
        <f>SUM(J66:K66)</f>
        <v>2292774187.1628957</v>
      </c>
      <c r="E66" s="23"/>
      <c r="F66" s="20" t="s">
        <v>180</v>
      </c>
      <c r="G66" s="20"/>
      <c r="H66" s="20"/>
      <c r="I66" s="20"/>
      <c r="J66" s="24">
        <v>1608416289.8886309</v>
      </c>
      <c r="K66" s="24">
        <v>684357897.27426481</v>
      </c>
    </row>
  </sheetData>
  <sheetProtection algorithmName="SHA-512" hashValue="Fv3aAZkqcXSkKJxAZapSaBrjAZAneRQicX+6h0dgveUXRmqRrIKLtuDh76vm9bxFR0jfWJ+9SE8OOkYaFA3Gpg==" saltValue="438cqkHdcoFI0ZuHRyMviQ=="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5E8BF-F416-4F85-BC94-FC18120DC44F}">
  <dimension ref="B2:BB177"/>
  <sheetViews>
    <sheetView showGridLines="0" showRowColHeaders="0" workbookViewId="0">
      <pane xSplit="1" ySplit="2" topLeftCell="B3" activePane="bottomRight" state="frozen"/>
      <selection pane="topRight" activeCell="B1" sqref="B1"/>
      <selection pane="bottomLeft" activeCell="A3" sqref="A3"/>
      <selection pane="bottomRight"/>
    </sheetView>
  </sheetViews>
  <sheetFormatPr defaultRowHeight="14.4" x14ac:dyDescent="0.3"/>
  <cols>
    <col min="2" max="2" width="20.6640625" bestFit="1" customWidth="1"/>
    <col min="3" max="3" width="23.88671875" bestFit="1" customWidth="1"/>
    <col min="4" max="4" width="25.77734375" bestFit="1" customWidth="1"/>
    <col min="5" max="6" width="22" bestFit="1" customWidth="1"/>
    <col min="7" max="7" width="23.77734375" style="51" bestFit="1" customWidth="1"/>
    <col min="8" max="8" width="18.109375" style="51" customWidth="1"/>
    <col min="9" max="9" width="23.88671875" style="51" bestFit="1" customWidth="1"/>
    <col min="10" max="10" width="27.5546875" style="51" bestFit="1" customWidth="1"/>
    <col min="11" max="12" width="23.77734375" style="51" bestFit="1" customWidth="1"/>
    <col min="13" max="13" width="20.44140625" style="51" customWidth="1"/>
    <col min="14" max="14" width="16.88671875" style="51" customWidth="1"/>
    <col min="15" max="15" width="23.88671875" style="51" bestFit="1" customWidth="1"/>
    <col min="16" max="16" width="26.44140625" style="51" bestFit="1" customWidth="1"/>
    <col min="17" max="18" width="22.6640625" style="51" bestFit="1" customWidth="1"/>
    <col min="19" max="19" width="20.77734375" style="51" customWidth="1"/>
    <col min="20" max="20" width="14.88671875" style="51" customWidth="1"/>
    <col min="21" max="21" width="23.88671875" style="51" bestFit="1" customWidth="1"/>
    <col min="22" max="22" width="28.109375" style="51" bestFit="1" customWidth="1"/>
    <col min="23" max="24" width="24.33203125" bestFit="1" customWidth="1"/>
    <col min="25" max="25" width="17.88671875" customWidth="1"/>
    <col min="26" max="26" width="16.109375" customWidth="1"/>
    <col min="27" max="27" width="23.33203125" customWidth="1"/>
    <col min="28" max="28" width="20.21875" customWidth="1"/>
    <col min="29" max="29" width="20.44140625" customWidth="1"/>
    <col min="30" max="30" width="16.88671875" customWidth="1"/>
    <col min="31" max="31" width="19.109375" customWidth="1"/>
    <col min="32" max="32" width="26" customWidth="1"/>
    <col min="33" max="34" width="25" customWidth="1"/>
    <col min="35" max="35" width="20.77734375" customWidth="1"/>
    <col min="36" max="36" width="14.88671875" customWidth="1"/>
    <col min="37" max="37" width="18.88671875" customWidth="1"/>
    <col min="38" max="38" width="18.44140625" customWidth="1"/>
    <col min="39" max="39" width="23.88671875" customWidth="1"/>
    <col min="40" max="40" width="21.77734375" customWidth="1"/>
    <col min="41" max="41" width="21.5546875" customWidth="1"/>
    <col min="42" max="42" width="19.77734375" customWidth="1"/>
    <col min="43" max="43" width="27" customWidth="1"/>
    <col min="44" max="44" width="23.88671875" customWidth="1"/>
    <col min="45" max="45" width="24.109375" customWidth="1"/>
    <col min="46" max="46" width="20.5546875" customWidth="1"/>
    <col min="47" max="47" width="22.77734375" customWidth="1"/>
    <col min="48" max="48" width="29.6640625" customWidth="1"/>
    <col min="49" max="50" width="28.6640625" customWidth="1"/>
    <col min="51" max="51" width="24.44140625" customWidth="1"/>
    <col min="52" max="52" width="18.5546875" customWidth="1"/>
    <col min="53" max="53" width="22.5546875" customWidth="1"/>
    <col min="54" max="54" width="22.109375" customWidth="1"/>
    <col min="55" max="55" width="17.21875" bestFit="1" customWidth="1"/>
    <col min="56" max="56" width="22.21875" bestFit="1" customWidth="1"/>
    <col min="57" max="57" width="30.21875" customWidth="1"/>
    <col min="58" max="58" width="39" customWidth="1"/>
    <col min="59" max="59" width="51" bestFit="1" customWidth="1"/>
    <col min="60" max="60" width="22.21875" bestFit="1" customWidth="1"/>
    <col min="61" max="61" width="18.21875" customWidth="1"/>
    <col min="62" max="62" width="35.109375" customWidth="1"/>
    <col min="63" max="63" width="14.5546875" bestFit="1" customWidth="1"/>
    <col min="64" max="64" width="18.21875" bestFit="1" customWidth="1"/>
    <col min="65" max="65" width="13.77734375" bestFit="1" customWidth="1"/>
    <col min="66" max="66" width="12.44140625" bestFit="1" customWidth="1"/>
    <col min="67" max="68" width="17.21875" bestFit="1" customWidth="1"/>
    <col min="69" max="69" width="13.5546875" bestFit="1" customWidth="1"/>
    <col min="70" max="70" width="18.21875" bestFit="1" customWidth="1"/>
    <col min="71" max="71" width="17.21875" bestFit="1" customWidth="1"/>
    <col min="72" max="73" width="16.109375" bestFit="1" customWidth="1"/>
    <col min="74" max="74" width="14.44140625" bestFit="1" customWidth="1"/>
    <col min="75" max="76" width="12.44140625" bestFit="1" customWidth="1"/>
    <col min="77" max="77" width="16.109375" bestFit="1" customWidth="1"/>
    <col min="78" max="78" width="12.44140625" bestFit="1" customWidth="1"/>
    <col min="79" max="79" width="18.21875" bestFit="1" customWidth="1"/>
    <col min="80" max="80" width="14.5546875" bestFit="1" customWidth="1"/>
    <col min="81" max="81" width="12.44140625" bestFit="1" customWidth="1"/>
    <col min="82" max="83" width="17.21875" bestFit="1" customWidth="1"/>
    <col min="84" max="84" width="12.44140625" bestFit="1" customWidth="1"/>
    <col min="85" max="86" width="17.21875" bestFit="1" customWidth="1"/>
    <col min="87" max="87" width="12.44140625" bestFit="1" customWidth="1"/>
    <col min="88" max="88" width="17.21875" bestFit="1" customWidth="1"/>
    <col min="89" max="89" width="14.44140625" bestFit="1" customWidth="1"/>
    <col min="90" max="91" width="14.5546875" bestFit="1" customWidth="1"/>
    <col min="92" max="93" width="16.109375" bestFit="1" customWidth="1"/>
    <col min="94" max="94" width="18.21875" bestFit="1" customWidth="1"/>
    <col min="95" max="95" width="12.44140625" bestFit="1" customWidth="1"/>
    <col min="96" max="96" width="16.109375" bestFit="1" customWidth="1"/>
    <col min="97" max="98" width="17.21875" bestFit="1" customWidth="1"/>
    <col min="99" max="99" width="14.5546875" bestFit="1" customWidth="1"/>
    <col min="100" max="100" width="18.21875" bestFit="1" customWidth="1"/>
    <col min="101" max="101" width="17.21875" bestFit="1" customWidth="1"/>
    <col min="102" max="102" width="16.109375" bestFit="1" customWidth="1"/>
    <col min="103" max="103" width="17.21875" bestFit="1" customWidth="1"/>
    <col min="104" max="104" width="14.44140625" bestFit="1" customWidth="1"/>
    <col min="105" max="106" width="12.44140625" bestFit="1" customWidth="1"/>
    <col min="107" max="107" width="16.109375" bestFit="1" customWidth="1"/>
    <col min="108" max="108" width="12.44140625" bestFit="1" customWidth="1"/>
    <col min="109" max="109" width="18.21875" bestFit="1" customWidth="1"/>
    <col min="110" max="110" width="14.5546875" bestFit="1" customWidth="1"/>
    <col min="111" max="111" width="12.44140625" bestFit="1" customWidth="1"/>
    <col min="112" max="113" width="17.21875" bestFit="1" customWidth="1"/>
    <col min="114" max="114" width="12.44140625" bestFit="1" customWidth="1"/>
    <col min="115" max="116" width="17.21875" bestFit="1" customWidth="1"/>
    <col min="117" max="117" width="12.44140625" bestFit="1" customWidth="1"/>
    <col min="118" max="118" width="17.21875" bestFit="1" customWidth="1"/>
    <col min="119" max="119" width="14.109375" bestFit="1" customWidth="1"/>
  </cols>
  <sheetData>
    <row r="2" spans="2:54" x14ac:dyDescent="0.3">
      <c r="G2" t="s">
        <v>247</v>
      </c>
      <c r="H2" t="s">
        <v>248</v>
      </c>
      <c r="I2" t="s">
        <v>249</v>
      </c>
      <c r="J2" t="s">
        <v>250</v>
      </c>
      <c r="K2" t="s">
        <v>251</v>
      </c>
      <c r="L2" t="s">
        <v>252</v>
      </c>
      <c r="M2" t="s">
        <v>253</v>
      </c>
      <c r="N2" t="s">
        <v>254</v>
      </c>
      <c r="O2" t="s">
        <v>255</v>
      </c>
      <c r="P2" t="s">
        <v>256</v>
      </c>
      <c r="Q2" t="s">
        <v>257</v>
      </c>
      <c r="R2" t="s">
        <v>258</v>
      </c>
      <c r="S2" t="s">
        <v>259</v>
      </c>
      <c r="T2" t="s">
        <v>260</v>
      </c>
      <c r="U2" t="s">
        <v>261</v>
      </c>
      <c r="V2" t="s">
        <v>262</v>
      </c>
      <c r="W2" t="s">
        <v>263</v>
      </c>
      <c r="X2" t="s">
        <v>264</v>
      </c>
      <c r="Y2" t="s">
        <v>265</v>
      </c>
      <c r="Z2" t="s">
        <v>266</v>
      </c>
      <c r="AA2" t="s">
        <v>267</v>
      </c>
      <c r="AB2" t="s">
        <v>268</v>
      </c>
      <c r="AC2" t="s">
        <v>269</v>
      </c>
      <c r="AD2" t="s">
        <v>270</v>
      </c>
      <c r="AE2" t="s">
        <v>271</v>
      </c>
      <c r="AF2" t="s">
        <v>272</v>
      </c>
      <c r="AG2" t="s">
        <v>273</v>
      </c>
      <c r="AH2" t="s">
        <v>274</v>
      </c>
      <c r="AI2" t="s">
        <v>275</v>
      </c>
      <c r="AJ2" t="s">
        <v>276</v>
      </c>
      <c r="AK2" t="s">
        <v>277</v>
      </c>
      <c r="AL2" t="s">
        <v>278</v>
      </c>
      <c r="AM2" t="s">
        <v>279</v>
      </c>
      <c r="AN2" t="s">
        <v>280</v>
      </c>
      <c r="AO2" t="s">
        <v>281</v>
      </c>
      <c r="AP2" t="s">
        <v>282</v>
      </c>
      <c r="AQ2" t="s">
        <v>283</v>
      </c>
      <c r="AR2" t="s">
        <v>284</v>
      </c>
      <c r="AS2" t="s">
        <v>285</v>
      </c>
      <c r="AT2" t="s">
        <v>286</v>
      </c>
      <c r="AU2" t="s">
        <v>287</v>
      </c>
      <c r="AV2" t="s">
        <v>288</v>
      </c>
      <c r="AW2" t="s">
        <v>289</v>
      </c>
      <c r="AX2" t="s">
        <v>290</v>
      </c>
      <c r="AY2" t="s">
        <v>291</v>
      </c>
      <c r="AZ2" t="s">
        <v>292</v>
      </c>
      <c r="BA2" t="s">
        <v>293</v>
      </c>
      <c r="BB2" t="s">
        <v>294</v>
      </c>
    </row>
    <row r="3" spans="2:54" x14ac:dyDescent="0.3">
      <c r="B3" s="57" t="s">
        <v>160</v>
      </c>
      <c r="C3" s="57"/>
      <c r="D3" s="57"/>
      <c r="E3" s="57"/>
      <c r="F3" s="57"/>
      <c r="G3" s="60">
        <v>2025</v>
      </c>
      <c r="H3" s="58"/>
      <c r="I3" s="58"/>
      <c r="J3" s="58"/>
      <c r="K3" s="58"/>
      <c r="L3" s="58"/>
      <c r="M3" s="58"/>
      <c r="N3" s="58"/>
      <c r="O3" s="58"/>
      <c r="P3" s="58"/>
      <c r="Q3" s="58"/>
      <c r="R3" s="58"/>
      <c r="S3" s="58"/>
      <c r="T3" s="58"/>
      <c r="U3" s="58"/>
      <c r="V3" s="58"/>
      <c r="W3">
        <v>2024</v>
      </c>
      <c r="AM3" t="s">
        <v>1</v>
      </c>
    </row>
    <row r="4" spans="2:54" ht="15" thickBot="1" x14ac:dyDescent="0.35">
      <c r="B4" s="61" t="s">
        <v>166</v>
      </c>
      <c r="C4" s="62" t="s">
        <v>244</v>
      </c>
      <c r="D4" s="62" t="s">
        <v>4</v>
      </c>
      <c r="E4" s="62" t="s">
        <v>238</v>
      </c>
      <c r="F4" s="62" t="s">
        <v>169</v>
      </c>
      <c r="G4" s="63" t="s">
        <v>247</v>
      </c>
      <c r="H4" s="63" t="s">
        <v>248</v>
      </c>
      <c r="I4" s="63" t="s">
        <v>249</v>
      </c>
      <c r="J4" s="63" t="s">
        <v>250</v>
      </c>
      <c r="K4" s="63" t="s">
        <v>251</v>
      </c>
      <c r="L4" s="63" t="s">
        <v>252</v>
      </c>
      <c r="M4" s="63" t="s">
        <v>253</v>
      </c>
      <c r="N4" s="63" t="s">
        <v>254</v>
      </c>
      <c r="O4" s="63" t="s">
        <v>255</v>
      </c>
      <c r="P4" s="63" t="s">
        <v>256</v>
      </c>
      <c r="Q4" s="63" t="s">
        <v>257</v>
      </c>
      <c r="R4" s="63" t="s">
        <v>258</v>
      </c>
      <c r="S4" s="63" t="s">
        <v>259</v>
      </c>
      <c r="T4" s="63" t="s">
        <v>260</v>
      </c>
      <c r="U4" s="63" t="s">
        <v>261</v>
      </c>
      <c r="V4" s="63" t="s">
        <v>262</v>
      </c>
      <c r="W4" s="63" t="s">
        <v>263</v>
      </c>
      <c r="X4" s="63" t="s">
        <v>264</v>
      </c>
      <c r="Y4" s="63" t="s">
        <v>265</v>
      </c>
      <c r="Z4" s="63" t="s">
        <v>266</v>
      </c>
      <c r="AA4" s="63" t="s">
        <v>267</v>
      </c>
      <c r="AB4" s="63" t="s">
        <v>268</v>
      </c>
      <c r="AC4" s="63" t="s">
        <v>269</v>
      </c>
      <c r="AD4" s="63" t="s">
        <v>270</v>
      </c>
      <c r="AE4" s="63" t="s">
        <v>271</v>
      </c>
      <c r="AF4" s="63" t="s">
        <v>272</v>
      </c>
      <c r="AG4" s="63" t="s">
        <v>273</v>
      </c>
      <c r="AH4" s="63" t="s">
        <v>274</v>
      </c>
      <c r="AI4" s="63" t="s">
        <v>275</v>
      </c>
      <c r="AJ4" s="63" t="s">
        <v>276</v>
      </c>
      <c r="AK4" s="63" t="s">
        <v>277</v>
      </c>
      <c r="AL4" s="63" t="s">
        <v>278</v>
      </c>
      <c r="AM4" s="63" t="s">
        <v>279</v>
      </c>
      <c r="AN4" s="63" t="s">
        <v>280</v>
      </c>
      <c r="AO4" s="63" t="s">
        <v>281</v>
      </c>
      <c r="AP4" s="63" t="s">
        <v>282</v>
      </c>
      <c r="AQ4" s="63" t="s">
        <v>283</v>
      </c>
      <c r="AR4" s="63" t="s">
        <v>284</v>
      </c>
      <c r="AS4" s="63" t="s">
        <v>285</v>
      </c>
      <c r="AT4" s="63" t="s">
        <v>286</v>
      </c>
      <c r="AU4" s="63" t="s">
        <v>287</v>
      </c>
      <c r="AV4" s="63" t="s">
        <v>288</v>
      </c>
      <c r="AW4" s="63" t="s">
        <v>289</v>
      </c>
      <c r="AX4" s="63" t="s">
        <v>290</v>
      </c>
      <c r="AY4" s="63" t="s">
        <v>291</v>
      </c>
      <c r="AZ4" s="63" t="s">
        <v>292</v>
      </c>
      <c r="BA4" s="63" t="s">
        <v>293</v>
      </c>
      <c r="BB4" s="64" t="s">
        <v>294</v>
      </c>
    </row>
    <row r="5" spans="2:54" ht="15" thickBot="1" x14ac:dyDescent="0.35">
      <c r="B5" s="65" t="s">
        <v>172</v>
      </c>
      <c r="C5" s="66" t="s">
        <v>240</v>
      </c>
      <c r="D5" s="66" t="s">
        <v>13</v>
      </c>
      <c r="E5" s="67" t="s">
        <v>12</v>
      </c>
      <c r="F5" s="67" t="s">
        <v>136</v>
      </c>
      <c r="G5" s="68">
        <v>28182802.847500056</v>
      </c>
      <c r="H5" s="68">
        <v>-27747.751250000001</v>
      </c>
      <c r="I5" s="68">
        <v>121621.62187500001</v>
      </c>
      <c r="J5" s="68">
        <v>183783.81</v>
      </c>
      <c r="K5" s="68">
        <v>3727389.2568750014</v>
      </c>
      <c r="L5" s="68">
        <v>4014503.2162499991</v>
      </c>
      <c r="M5" s="68">
        <v>729729.73125000007</v>
      </c>
      <c r="N5" s="68">
        <v>0</v>
      </c>
      <c r="O5" s="68">
        <v>473845045.08499956</v>
      </c>
      <c r="P5" s="68">
        <v>123768129.77145836</v>
      </c>
      <c r="Q5" s="68">
        <v>8744496.46875</v>
      </c>
      <c r="R5" s="68">
        <v>23355664.739999987</v>
      </c>
      <c r="S5" s="68">
        <v>40376193.19500003</v>
      </c>
      <c r="T5" s="68">
        <v>91891.904999999999</v>
      </c>
      <c r="U5" s="68">
        <v>1739189.5125</v>
      </c>
      <c r="V5" s="68">
        <v>708852693.41020477</v>
      </c>
      <c r="W5" s="68">
        <v>35388365.75</v>
      </c>
      <c r="X5" s="68">
        <v>110991</v>
      </c>
      <c r="Y5" s="68">
        <f>0</f>
        <v>0</v>
      </c>
      <c r="Z5" s="68">
        <f>0</f>
        <v>0</v>
      </c>
      <c r="AA5" s="68">
        <v>3529911.6875</v>
      </c>
      <c r="AB5" s="68">
        <v>4224594.9375</v>
      </c>
      <c r="AC5" s="68">
        <f>0</f>
        <v>0</v>
      </c>
      <c r="AD5" s="68">
        <f>0</f>
        <v>0</v>
      </c>
      <c r="AE5" s="68">
        <v>496920856.70833325</v>
      </c>
      <c r="AF5" s="68">
        <v>23334052</v>
      </c>
      <c r="AG5" s="68">
        <v>13410811.5</v>
      </c>
      <c r="AH5" s="68">
        <v>20064027.208333336</v>
      </c>
      <c r="AI5" s="68">
        <v>57618354.875</v>
      </c>
      <c r="AJ5" s="68">
        <f>0</f>
        <v>0</v>
      </c>
      <c r="AK5" s="68">
        <f>0</f>
        <v>0</v>
      </c>
      <c r="AL5" s="68">
        <v>654601965.66666663</v>
      </c>
      <c r="AM5" s="69">
        <f>IFERROR(G5/W5-1,0)</f>
        <v>-0.20361389258276064</v>
      </c>
      <c r="AN5" s="69">
        <f t="shared" ref="AN5:BB9" si="0">IFERROR(H5/X5-1,0)</f>
        <v>-1.2500000112621743</v>
      </c>
      <c r="AO5" s="69">
        <f t="shared" si="0"/>
        <v>0</v>
      </c>
      <c r="AP5" s="69">
        <f t="shared" si="0"/>
        <v>0</v>
      </c>
      <c r="AQ5" s="69">
        <f t="shared" si="0"/>
        <v>5.5944053805737415E-2</v>
      </c>
      <c r="AR5" s="69">
        <f t="shared" si="0"/>
        <v>-4.9730618996179365E-2</v>
      </c>
      <c r="AS5" s="69">
        <f t="shared" si="0"/>
        <v>0</v>
      </c>
      <c r="AT5" s="69">
        <f t="shared" si="0"/>
        <v>0</v>
      </c>
      <c r="AU5" s="69">
        <f t="shared" si="0"/>
        <v>-4.6437599291345499E-2</v>
      </c>
      <c r="AV5" s="69">
        <f t="shared" si="0"/>
        <v>4.3041850498772503</v>
      </c>
      <c r="AW5" s="69">
        <f t="shared" si="0"/>
        <v>-0.34795172769746263</v>
      </c>
      <c r="AX5" s="69">
        <f t="shared" si="0"/>
        <v>0.16405667204735019</v>
      </c>
      <c r="AY5" s="69">
        <f t="shared" si="0"/>
        <v>-0.29924772613529027</v>
      </c>
      <c r="AZ5" s="69">
        <f t="shared" si="0"/>
        <v>0</v>
      </c>
      <c r="BA5" s="69">
        <f t="shared" si="0"/>
        <v>0</v>
      </c>
      <c r="BB5" s="70">
        <f t="shared" si="0"/>
        <v>8.2875901064989321E-2</v>
      </c>
    </row>
    <row r="6" spans="2:54" ht="15" thickBot="1" x14ac:dyDescent="0.35">
      <c r="B6" s="65" t="s">
        <v>172</v>
      </c>
      <c r="C6" s="66" t="s">
        <v>241</v>
      </c>
      <c r="D6" s="66" t="s">
        <v>21</v>
      </c>
      <c r="E6" s="67" t="s">
        <v>177</v>
      </c>
      <c r="F6" s="67" t="s">
        <v>136</v>
      </c>
      <c r="G6" s="68">
        <v>19653790.207499992</v>
      </c>
      <c r="H6" s="68">
        <v>0</v>
      </c>
      <c r="I6" s="68">
        <v>243243.24375000002</v>
      </c>
      <c r="J6" s="68">
        <v>367567.62</v>
      </c>
      <c r="K6" s="68">
        <v>887027.48999999987</v>
      </c>
      <c r="L6" s="68">
        <v>5286935.2612500004</v>
      </c>
      <c r="M6" s="68">
        <v>1824324.328125</v>
      </c>
      <c r="N6" s="68">
        <v>1297297.4550000001</v>
      </c>
      <c r="O6" s="68">
        <v>321412367.60937506</v>
      </c>
      <c r="P6" s="68">
        <v>139937967.69</v>
      </c>
      <c r="Q6" s="68">
        <v>12998907.031666666</v>
      </c>
      <c r="R6" s="68">
        <v>21475126.348749999</v>
      </c>
      <c r="S6" s="68">
        <v>20083231.773750015</v>
      </c>
      <c r="T6" s="68">
        <v>367567.62</v>
      </c>
      <c r="U6" s="68">
        <v>4031757.5062500006</v>
      </c>
      <c r="V6" s="68">
        <v>549867111.18541491</v>
      </c>
      <c r="W6" s="68">
        <v>20160533.625</v>
      </c>
      <c r="X6" s="68">
        <v>499459.5</v>
      </c>
      <c r="Y6" s="68">
        <f>0</f>
        <v>0</v>
      </c>
      <c r="Z6" s="68">
        <f>0</f>
        <v>0</v>
      </c>
      <c r="AA6" s="68">
        <v>1234054.25</v>
      </c>
      <c r="AB6" s="68">
        <v>2622162.375</v>
      </c>
      <c r="AC6" s="68">
        <f>0</f>
        <v>0</v>
      </c>
      <c r="AD6" s="68">
        <f>0</f>
        <v>0</v>
      </c>
      <c r="AE6" s="68">
        <v>268723855.58333331</v>
      </c>
      <c r="AF6" s="68">
        <v>10835494.541666666</v>
      </c>
      <c r="AG6" s="68">
        <v>11780539.625000002</v>
      </c>
      <c r="AH6" s="68">
        <v>13716735</v>
      </c>
      <c r="AI6" s="68">
        <v>29522689.9375</v>
      </c>
      <c r="AJ6" s="68">
        <f>0</f>
        <v>0</v>
      </c>
      <c r="AK6" s="68">
        <f>0</f>
        <v>0</v>
      </c>
      <c r="AL6" s="68">
        <v>359095524.4375</v>
      </c>
      <c r="AM6" s="69">
        <f t="shared" ref="AM6:AN9" si="1">IFERROR(G6/W6-1,0)</f>
        <v>-2.5135416895494367E-2</v>
      </c>
      <c r="AN6" s="69">
        <f t="shared" si="0"/>
        <v>-1</v>
      </c>
      <c r="AO6" s="69">
        <f t="shared" si="0"/>
        <v>0</v>
      </c>
      <c r="AP6" s="69">
        <f t="shared" si="0"/>
        <v>0</v>
      </c>
      <c r="AQ6" s="69">
        <f t="shared" si="0"/>
        <v>-0.28120867457812337</v>
      </c>
      <c r="AR6" s="69">
        <f t="shared" si="0"/>
        <v>1.0162501421179155</v>
      </c>
      <c r="AS6" s="69">
        <f t="shared" si="0"/>
        <v>0</v>
      </c>
      <c r="AT6" s="69">
        <f t="shared" si="0"/>
        <v>0</v>
      </c>
      <c r="AU6" s="69">
        <f t="shared" si="0"/>
        <v>0.19606935123667357</v>
      </c>
      <c r="AV6" s="69">
        <f t="shared" si="0"/>
        <v>11.914774415868552</v>
      </c>
      <c r="AW6" s="69">
        <f t="shared" si="0"/>
        <v>0.10342203714345244</v>
      </c>
      <c r="AX6" s="69">
        <f t="shared" si="0"/>
        <v>0.56561502053877977</v>
      </c>
      <c r="AY6" s="69">
        <f t="shared" si="0"/>
        <v>-0.31973570781434435</v>
      </c>
      <c r="AZ6" s="69">
        <f t="shared" si="0"/>
        <v>0</v>
      </c>
      <c r="BA6" s="69">
        <f t="shared" si="0"/>
        <v>0</v>
      </c>
      <c r="BB6" s="70">
        <f t="shared" si="0"/>
        <v>0.53125581848101922</v>
      </c>
    </row>
    <row r="7" spans="2:54" ht="15" thickBot="1" x14ac:dyDescent="0.35">
      <c r="B7" s="65" t="s">
        <v>172</v>
      </c>
      <c r="C7" s="66" t="s">
        <v>242</v>
      </c>
      <c r="D7" s="66" t="s">
        <v>53</v>
      </c>
      <c r="E7" s="67" t="s">
        <v>52</v>
      </c>
      <c r="F7" s="67" t="s">
        <v>136</v>
      </c>
      <c r="G7" s="68">
        <v>5950181.0749999983</v>
      </c>
      <c r="H7" s="68">
        <v>166486.50750000001</v>
      </c>
      <c r="I7" s="68">
        <v>243243.24375000002</v>
      </c>
      <c r="J7" s="68">
        <v>367567.62</v>
      </c>
      <c r="K7" s="68">
        <v>642252.59437499999</v>
      </c>
      <c r="L7" s="68">
        <v>4917295.7174999993</v>
      </c>
      <c r="M7" s="68">
        <v>1337837.840625</v>
      </c>
      <c r="N7" s="68">
        <v>1297297.4550000001</v>
      </c>
      <c r="O7" s="68">
        <v>134446400.014375</v>
      </c>
      <c r="P7" s="68">
        <v>48943041.670833334</v>
      </c>
      <c r="Q7" s="68">
        <v>1460539.1150000002</v>
      </c>
      <c r="R7" s="68">
        <v>7323871.1324999984</v>
      </c>
      <c r="S7" s="68">
        <v>11407471.033437502</v>
      </c>
      <c r="T7" s="68">
        <v>490090.16000000003</v>
      </c>
      <c r="U7" s="68">
        <v>2687838.3374999999</v>
      </c>
      <c r="V7" s="68">
        <v>221681413.51739582</v>
      </c>
      <c r="W7" s="68">
        <v>7190178.104166667</v>
      </c>
      <c r="X7" s="68">
        <v>665946</v>
      </c>
      <c r="Y7" s="68">
        <f>0</f>
        <v>0</v>
      </c>
      <c r="Z7" s="68">
        <f>0</f>
        <v>0</v>
      </c>
      <c r="AA7" s="68">
        <v>480270.0625</v>
      </c>
      <c r="AB7" s="68">
        <v>2880000.25</v>
      </c>
      <c r="AC7" s="68">
        <f>0</f>
        <v>0</v>
      </c>
      <c r="AD7" s="68">
        <f>0</f>
        <v>0</v>
      </c>
      <c r="AE7" s="68">
        <v>174391272.02083337</v>
      </c>
      <c r="AF7" s="68">
        <v>9006125.3333333321</v>
      </c>
      <c r="AG7" s="68">
        <v>1174054.0833333335</v>
      </c>
      <c r="AH7" s="68">
        <v>9188367.541666666</v>
      </c>
      <c r="AI7" s="68">
        <v>18085397.875</v>
      </c>
      <c r="AJ7" s="68">
        <f>0</f>
        <v>0</v>
      </c>
      <c r="AK7" s="68">
        <f>0</f>
        <v>0</v>
      </c>
      <c r="AL7" s="68">
        <v>223061611.27083334</v>
      </c>
      <c r="AM7" s="69">
        <f t="shared" si="1"/>
        <v>-0.17245706729407684</v>
      </c>
      <c r="AN7" s="69">
        <f t="shared" si="0"/>
        <v>-0.74999998873782558</v>
      </c>
      <c r="AO7" s="69">
        <f t="shared" si="0"/>
        <v>0</v>
      </c>
      <c r="AP7" s="69">
        <f t="shared" si="0"/>
        <v>0</v>
      </c>
      <c r="AQ7" s="69">
        <f t="shared" si="0"/>
        <v>0.33727384761776613</v>
      </c>
      <c r="AR7" s="69">
        <f t="shared" si="0"/>
        <v>0.70739419814286442</v>
      </c>
      <c r="AS7" s="69">
        <f t="shared" si="0"/>
        <v>0</v>
      </c>
      <c r="AT7" s="69">
        <f t="shared" si="0"/>
        <v>0</v>
      </c>
      <c r="AU7" s="69">
        <f t="shared" si="0"/>
        <v>-0.22905316042242307</v>
      </c>
      <c r="AV7" s="69">
        <f t="shared" si="0"/>
        <v>4.4344171171687012</v>
      </c>
      <c r="AW7" s="69">
        <f t="shared" si="0"/>
        <v>0.24401348773753972</v>
      </c>
      <c r="AX7" s="69">
        <f t="shared" si="0"/>
        <v>-0.20291922375892124</v>
      </c>
      <c r="AY7" s="69">
        <f t="shared" si="0"/>
        <v>-0.36924412101508708</v>
      </c>
      <c r="AZ7" s="69">
        <f t="shared" si="0"/>
        <v>0</v>
      </c>
      <c r="BA7" s="69">
        <f t="shared" si="0"/>
        <v>0</v>
      </c>
      <c r="BB7" s="70">
        <f t="shared" si="0"/>
        <v>-6.1875180833412813E-3</v>
      </c>
    </row>
    <row r="8" spans="2:54" ht="15" thickBot="1" x14ac:dyDescent="0.35">
      <c r="B8" s="65" t="s">
        <v>172</v>
      </c>
      <c r="C8" s="66" t="s">
        <v>243</v>
      </c>
      <c r="D8" s="66" t="s">
        <v>29</v>
      </c>
      <c r="E8" s="67" t="s">
        <v>28</v>
      </c>
      <c r="F8" s="67" t="s">
        <v>136</v>
      </c>
      <c r="G8" s="68">
        <v>10034597.060624991</v>
      </c>
      <c r="H8" s="68">
        <v>0</v>
      </c>
      <c r="I8" s="68">
        <v>0</v>
      </c>
      <c r="J8" s="68">
        <v>0</v>
      </c>
      <c r="K8" s="68">
        <v>790540.91999999993</v>
      </c>
      <c r="L8" s="68">
        <v>6415673.5874999966</v>
      </c>
      <c r="M8" s="68">
        <v>1094594.596875</v>
      </c>
      <c r="N8" s="68">
        <v>0</v>
      </c>
      <c r="O8" s="68">
        <v>223955235.46562496</v>
      </c>
      <c r="P8" s="68">
        <v>115212830.54583335</v>
      </c>
      <c r="Q8" s="68">
        <v>738374.86916666687</v>
      </c>
      <c r="R8" s="68">
        <v>10134051.124999996</v>
      </c>
      <c r="S8" s="68">
        <v>20480348.477500018</v>
      </c>
      <c r="T8" s="68">
        <v>367567.62</v>
      </c>
      <c r="U8" s="68">
        <v>1106756.9625000001</v>
      </c>
      <c r="V8" s="68">
        <v>390330571.23062468</v>
      </c>
      <c r="W8" s="68">
        <v>11169186.062499998</v>
      </c>
      <c r="X8" s="68">
        <f>0</f>
        <v>0</v>
      </c>
      <c r="Y8" s="68">
        <f>0</f>
        <v>0</v>
      </c>
      <c r="Z8" s="68">
        <f>0</f>
        <v>0</v>
      </c>
      <c r="AA8" s="68">
        <v>366937.0625</v>
      </c>
      <c r="AB8" s="68">
        <v>3038378.625</v>
      </c>
      <c r="AC8" s="68">
        <f>0</f>
        <v>0</v>
      </c>
      <c r="AD8" s="68">
        <f>0</f>
        <v>0</v>
      </c>
      <c r="AE8" s="68">
        <v>308644801.35416669</v>
      </c>
      <c r="AF8" s="68">
        <v>34668465.416666664</v>
      </c>
      <c r="AG8" s="68">
        <v>2521081.8333333335</v>
      </c>
      <c r="AH8" s="68">
        <v>17902679</v>
      </c>
      <c r="AI8" s="68">
        <v>17109452.96875</v>
      </c>
      <c r="AJ8" s="68">
        <f>0</f>
        <v>0</v>
      </c>
      <c r="AK8" s="68">
        <f>0</f>
        <v>0</v>
      </c>
      <c r="AL8" s="68">
        <v>395420982.32291669</v>
      </c>
      <c r="AM8" s="69">
        <f t="shared" si="1"/>
        <v>-0.10158206654684854</v>
      </c>
      <c r="AN8" s="69">
        <f t="shared" si="0"/>
        <v>0</v>
      </c>
      <c r="AO8" s="69">
        <f t="shared" si="0"/>
        <v>0</v>
      </c>
      <c r="AP8" s="69">
        <f t="shared" si="0"/>
        <v>0</v>
      </c>
      <c r="AQ8" s="69">
        <f t="shared" si="0"/>
        <v>1.1544319197791579</v>
      </c>
      <c r="AR8" s="69">
        <f t="shared" si="0"/>
        <v>1.1115451296001653</v>
      </c>
      <c r="AS8" s="69">
        <f t="shared" si="0"/>
        <v>0</v>
      </c>
      <c r="AT8" s="69">
        <f t="shared" si="0"/>
        <v>0</v>
      </c>
      <c r="AU8" s="69">
        <f t="shared" si="0"/>
        <v>-0.27439168104231682</v>
      </c>
      <c r="AV8" s="69">
        <f t="shared" si="0"/>
        <v>2.3232746001628746</v>
      </c>
      <c r="AW8" s="69">
        <f t="shared" si="0"/>
        <v>-0.7071198326829401</v>
      </c>
      <c r="AX8" s="69">
        <f t="shared" si="0"/>
        <v>-0.43393661222434943</v>
      </c>
      <c r="AY8" s="69">
        <f t="shared" si="0"/>
        <v>0.19701947893406513</v>
      </c>
      <c r="AZ8" s="69">
        <f t="shared" si="0"/>
        <v>0</v>
      </c>
      <c r="BA8" s="69">
        <f t="shared" si="0"/>
        <v>0</v>
      </c>
      <c r="BB8" s="70">
        <f t="shared" si="0"/>
        <v>-1.2873396506144386E-2</v>
      </c>
    </row>
    <row r="9" spans="2:54" x14ac:dyDescent="0.3">
      <c r="B9" s="71" t="s">
        <v>246</v>
      </c>
      <c r="C9" s="72" t="s">
        <v>191</v>
      </c>
      <c r="D9" s="72" t="s">
        <v>191</v>
      </c>
      <c r="E9" s="72" t="s">
        <v>191</v>
      </c>
      <c r="F9" s="72" t="s">
        <v>136</v>
      </c>
      <c r="G9" s="73">
        <v>63821371.190624975</v>
      </c>
      <c r="H9" s="73">
        <v>138738.75625000001</v>
      </c>
      <c r="I9" s="73">
        <v>608108.109375</v>
      </c>
      <c r="J9" s="73">
        <v>918919.04999999993</v>
      </c>
      <c r="K9" s="73">
        <v>6047210.2612499995</v>
      </c>
      <c r="L9" s="73">
        <v>20634407.782499995</v>
      </c>
      <c r="M9" s="73">
        <v>4986486.4968750002</v>
      </c>
      <c r="N9" s="73">
        <v>2594594.91</v>
      </c>
      <c r="O9" s="73">
        <v>1153659048.1743734</v>
      </c>
      <c r="P9" s="73">
        <v>427861969.67812502</v>
      </c>
      <c r="Q9" s="73">
        <v>23942317.484583337</v>
      </c>
      <c r="R9" s="73">
        <v>62288713.346249968</v>
      </c>
      <c r="S9" s="73">
        <v>92347244.479687512</v>
      </c>
      <c r="T9" s="73">
        <v>1317117.3050000002</v>
      </c>
      <c r="U9" s="73">
        <v>9565542.3187499978</v>
      </c>
      <c r="V9" s="73">
        <v>1870731789.343648</v>
      </c>
      <c r="W9" s="73">
        <v>73908263.541666672</v>
      </c>
      <c r="X9" s="73">
        <v>1276396.5</v>
      </c>
      <c r="Y9" s="73">
        <f>0</f>
        <v>0</v>
      </c>
      <c r="Z9" s="73">
        <f>0</f>
        <v>0</v>
      </c>
      <c r="AA9" s="73">
        <v>5611173.0625</v>
      </c>
      <c r="AB9" s="73">
        <v>12765136.1875</v>
      </c>
      <c r="AC9" s="73">
        <f>0</f>
        <v>0</v>
      </c>
      <c r="AD9" s="73">
        <f>0</f>
        <v>0</v>
      </c>
      <c r="AE9" s="73">
        <v>1248680785.6666665</v>
      </c>
      <c r="AF9" s="73">
        <v>77844137.291666672</v>
      </c>
      <c r="AG9" s="73">
        <v>28886487.041666664</v>
      </c>
      <c r="AH9" s="73">
        <v>60871808.75</v>
      </c>
      <c r="AI9" s="73">
        <v>122335895.65625</v>
      </c>
      <c r="AJ9" s="73">
        <f>0</f>
        <v>0</v>
      </c>
      <c r="AK9" s="73">
        <f>0</f>
        <v>0</v>
      </c>
      <c r="AL9" s="73">
        <v>1632180083.6979165</v>
      </c>
      <c r="AM9" s="74">
        <f t="shared" si="1"/>
        <v>-0.13647854607428422</v>
      </c>
      <c r="AN9" s="74">
        <f t="shared" si="0"/>
        <v>-0.89130434292948935</v>
      </c>
      <c r="AO9" s="74">
        <f t="shared" si="0"/>
        <v>0</v>
      </c>
      <c r="AP9" s="74">
        <f t="shared" si="0"/>
        <v>0</v>
      </c>
      <c r="AQ9" s="74">
        <f t="shared" si="0"/>
        <v>7.7708741807319681E-2</v>
      </c>
      <c r="AR9" s="74">
        <f t="shared" si="0"/>
        <v>0.6164659334152518</v>
      </c>
      <c r="AS9" s="74">
        <f t="shared" si="0"/>
        <v>0</v>
      </c>
      <c r="AT9" s="74">
        <f t="shared" si="0"/>
        <v>0</v>
      </c>
      <c r="AU9" s="74">
        <f t="shared" si="0"/>
        <v>-7.6097701336503953E-2</v>
      </c>
      <c r="AV9" s="74">
        <f t="shared" si="0"/>
        <v>4.4963929791528212</v>
      </c>
      <c r="AW9" s="74">
        <f t="shared" si="0"/>
        <v>-0.17115856109300243</v>
      </c>
      <c r="AX9" s="74">
        <f t="shared" si="0"/>
        <v>2.327686042761079E-2</v>
      </c>
      <c r="AY9" s="74">
        <f t="shared" si="0"/>
        <v>-0.24513370352743569</v>
      </c>
      <c r="AZ9" s="74">
        <f t="shared" si="0"/>
        <v>0</v>
      </c>
      <c r="BA9" s="74">
        <f t="shared" si="0"/>
        <v>0</v>
      </c>
      <c r="BB9" s="75">
        <f t="shared" si="0"/>
        <v>0.14615526070215323</v>
      </c>
    </row>
    <row r="12" spans="2:54" x14ac:dyDescent="0.3">
      <c r="B12" s="59" t="s">
        <v>166</v>
      </c>
      <c r="C12" t="s">
        <v>245</v>
      </c>
      <c r="H12" s="59" t="s">
        <v>166</v>
      </c>
      <c r="I12" t="s">
        <v>245</v>
      </c>
      <c r="J12"/>
      <c r="K12"/>
      <c r="L12"/>
      <c r="N12" s="59" t="s">
        <v>166</v>
      </c>
      <c r="O12" t="s">
        <v>245</v>
      </c>
      <c r="P12"/>
      <c r="Q12"/>
      <c r="R12"/>
      <c r="T12" s="59" t="s">
        <v>166</v>
      </c>
      <c r="U12" t="s">
        <v>245</v>
      </c>
      <c r="V12"/>
    </row>
    <row r="13" spans="2:54" x14ac:dyDescent="0.3">
      <c r="B13" s="59" t="s">
        <v>244</v>
      </c>
      <c r="C13" t="s">
        <v>245</v>
      </c>
      <c r="H13" s="59" t="s">
        <v>244</v>
      </c>
      <c r="I13" t="s">
        <v>245</v>
      </c>
      <c r="J13"/>
      <c r="K13"/>
      <c r="L13"/>
      <c r="N13" s="59" t="s">
        <v>244</v>
      </c>
      <c r="O13" t="s">
        <v>245</v>
      </c>
      <c r="P13"/>
      <c r="Q13"/>
      <c r="R13"/>
      <c r="T13" s="59" t="s">
        <v>244</v>
      </c>
      <c r="U13" t="s">
        <v>245</v>
      </c>
      <c r="V13"/>
    </row>
    <row r="14" spans="2:54" x14ac:dyDescent="0.3">
      <c r="B14" s="59" t="s">
        <v>169</v>
      </c>
      <c r="C14" t="s">
        <v>245</v>
      </c>
      <c r="G14"/>
      <c r="H14" s="59" t="s">
        <v>169</v>
      </c>
      <c r="I14" t="s">
        <v>245</v>
      </c>
      <c r="J14"/>
      <c r="K14"/>
      <c r="L14"/>
      <c r="M14"/>
      <c r="N14" s="59" t="s">
        <v>169</v>
      </c>
      <c r="O14" t="s">
        <v>245</v>
      </c>
      <c r="P14"/>
      <c r="Q14"/>
      <c r="R14"/>
      <c r="S14"/>
      <c r="T14" s="59" t="s">
        <v>169</v>
      </c>
      <c r="U14" t="s">
        <v>245</v>
      </c>
      <c r="V14"/>
    </row>
    <row r="15" spans="2:54" x14ac:dyDescent="0.3">
      <c r="G15"/>
      <c r="H15"/>
      <c r="I15"/>
      <c r="J15"/>
      <c r="K15"/>
      <c r="L15"/>
      <c r="M15"/>
      <c r="N15"/>
      <c r="O15"/>
      <c r="P15"/>
      <c r="Q15"/>
      <c r="R15"/>
      <c r="S15"/>
      <c r="T15"/>
      <c r="U15"/>
      <c r="V15"/>
    </row>
    <row r="16" spans="2:54" x14ac:dyDescent="0.3">
      <c r="D16" s="59" t="s">
        <v>307</v>
      </c>
      <c r="G16"/>
      <c r="H16"/>
      <c r="I16"/>
      <c r="J16" s="59" t="s">
        <v>307</v>
      </c>
      <c r="K16"/>
      <c r="L16"/>
      <c r="M16"/>
      <c r="N16"/>
      <c r="O16"/>
      <c r="P16" s="59" t="s">
        <v>307</v>
      </c>
      <c r="Q16"/>
      <c r="R16"/>
      <c r="S16"/>
      <c r="T16"/>
      <c r="U16"/>
      <c r="V16" s="59" t="s">
        <v>307</v>
      </c>
    </row>
    <row r="17" spans="2:24" x14ac:dyDescent="0.3">
      <c r="B17" s="59" t="s">
        <v>4</v>
      </c>
      <c r="C17" s="59" t="s">
        <v>238</v>
      </c>
      <c r="D17" t="s">
        <v>306</v>
      </c>
      <c r="E17" t="s">
        <v>298</v>
      </c>
      <c r="F17" t="s">
        <v>302</v>
      </c>
      <c r="G17"/>
      <c r="H17" s="59" t="s">
        <v>4</v>
      </c>
      <c r="I17" s="59" t="s">
        <v>238</v>
      </c>
      <c r="J17" t="s">
        <v>303</v>
      </c>
      <c r="K17" t="s">
        <v>295</v>
      </c>
      <c r="L17" t="s">
        <v>299</v>
      </c>
      <c r="M17"/>
      <c r="N17" s="59" t="s">
        <v>4</v>
      </c>
      <c r="O17" s="59" t="s">
        <v>238</v>
      </c>
      <c r="P17" t="s">
        <v>304</v>
      </c>
      <c r="Q17" t="s">
        <v>296</v>
      </c>
      <c r="R17" t="s">
        <v>300</v>
      </c>
      <c r="S17"/>
      <c r="T17" s="59" t="s">
        <v>4</v>
      </c>
      <c r="U17" s="59" t="s">
        <v>238</v>
      </c>
      <c r="V17" t="s">
        <v>305</v>
      </c>
      <c r="W17" t="s">
        <v>297</v>
      </c>
      <c r="X17" t="s">
        <v>301</v>
      </c>
    </row>
    <row r="18" spans="2:24" x14ac:dyDescent="0.3">
      <c r="B18" t="s">
        <v>191</v>
      </c>
      <c r="C18" t="s">
        <v>191</v>
      </c>
      <c r="D18" s="76">
        <v>0.14615526070215323</v>
      </c>
      <c r="E18" s="50">
        <v>1870731789.343648</v>
      </c>
      <c r="F18" s="50">
        <v>1632180083.6979165</v>
      </c>
      <c r="G18"/>
      <c r="H18" t="s">
        <v>191</v>
      </c>
      <c r="I18" t="s">
        <v>191</v>
      </c>
      <c r="J18" s="76">
        <v>-0.13647854607428422</v>
      </c>
      <c r="K18" s="50">
        <v>63821371.190624975</v>
      </c>
      <c r="L18" s="50">
        <v>73908263.541666672</v>
      </c>
      <c r="M18"/>
      <c r="N18" t="s">
        <v>191</v>
      </c>
      <c r="O18" t="s">
        <v>191</v>
      </c>
      <c r="P18" s="76">
        <v>-7.6097701336503953E-2</v>
      </c>
      <c r="Q18" s="50">
        <v>1153659048.1743734</v>
      </c>
      <c r="R18" s="50">
        <v>1248680785.6666665</v>
      </c>
      <c r="S18"/>
      <c r="T18" t="s">
        <v>191</v>
      </c>
      <c r="U18" t="s">
        <v>191</v>
      </c>
      <c r="V18" s="76">
        <v>-0.24513370352743569</v>
      </c>
      <c r="W18" s="50">
        <v>92347244.479687512</v>
      </c>
      <c r="X18" s="50">
        <v>122335895.65625</v>
      </c>
    </row>
    <row r="19" spans="2:24" x14ac:dyDescent="0.3">
      <c r="B19" t="s">
        <v>13</v>
      </c>
      <c r="C19" t="s">
        <v>12</v>
      </c>
      <c r="D19" s="76">
        <v>8.2875901064989321E-2</v>
      </c>
      <c r="E19" s="50">
        <v>708852693.41020477</v>
      </c>
      <c r="F19" s="50">
        <v>654601965.66666663</v>
      </c>
      <c r="G19"/>
      <c r="H19" t="s">
        <v>13</v>
      </c>
      <c r="I19" t="s">
        <v>12</v>
      </c>
      <c r="J19" s="76">
        <v>-0.20361389258276064</v>
      </c>
      <c r="K19" s="50">
        <v>28182802.847500056</v>
      </c>
      <c r="L19" s="50">
        <v>35388365.75</v>
      </c>
      <c r="M19"/>
      <c r="N19" t="s">
        <v>13</v>
      </c>
      <c r="O19" t="s">
        <v>12</v>
      </c>
      <c r="P19" s="76">
        <v>-4.6437599291345499E-2</v>
      </c>
      <c r="Q19" s="50">
        <v>473845045.08499956</v>
      </c>
      <c r="R19" s="50">
        <v>496920856.70833325</v>
      </c>
      <c r="S19"/>
      <c r="T19" t="s">
        <v>13</v>
      </c>
      <c r="U19" t="s">
        <v>12</v>
      </c>
      <c r="V19" s="76">
        <v>-0.29924772613529027</v>
      </c>
      <c r="W19" s="50">
        <v>40376193.19500003</v>
      </c>
      <c r="X19" s="50">
        <v>57618354.875</v>
      </c>
    </row>
    <row r="20" spans="2:24" x14ac:dyDescent="0.3">
      <c r="B20" t="s">
        <v>21</v>
      </c>
      <c r="C20" t="s">
        <v>177</v>
      </c>
      <c r="D20" s="76">
        <v>0.53125581848101922</v>
      </c>
      <c r="E20" s="50">
        <v>549867111.18541491</v>
      </c>
      <c r="F20" s="50">
        <v>359095524.4375</v>
      </c>
      <c r="G20"/>
      <c r="H20" t="s">
        <v>21</v>
      </c>
      <c r="I20" t="s">
        <v>177</v>
      </c>
      <c r="J20" s="76">
        <v>-2.5135416895494367E-2</v>
      </c>
      <c r="K20" s="50">
        <v>19653790.207499992</v>
      </c>
      <c r="L20" s="50">
        <v>20160533.625</v>
      </c>
      <c r="M20"/>
      <c r="N20" t="s">
        <v>21</v>
      </c>
      <c r="O20" t="s">
        <v>177</v>
      </c>
      <c r="P20" s="76">
        <v>0.19606935123667357</v>
      </c>
      <c r="Q20" s="50">
        <v>321412367.60937506</v>
      </c>
      <c r="R20" s="50">
        <v>268723855.58333331</v>
      </c>
      <c r="S20"/>
      <c r="T20" t="s">
        <v>21</v>
      </c>
      <c r="U20" t="s">
        <v>177</v>
      </c>
      <c r="V20" s="76">
        <v>-0.31973570781434435</v>
      </c>
      <c r="W20" s="50">
        <v>20083231.773750015</v>
      </c>
      <c r="X20" s="50">
        <v>29522689.9375</v>
      </c>
    </row>
    <row r="21" spans="2:24" x14ac:dyDescent="0.3">
      <c r="B21" t="s">
        <v>53</v>
      </c>
      <c r="C21" t="s">
        <v>52</v>
      </c>
      <c r="D21" s="76">
        <v>-6.1875180833412813E-3</v>
      </c>
      <c r="E21" s="50">
        <v>221681413.51739582</v>
      </c>
      <c r="F21" s="50">
        <v>223061611.27083334</v>
      </c>
      <c r="G21"/>
      <c r="H21" t="s">
        <v>53</v>
      </c>
      <c r="I21" t="s">
        <v>52</v>
      </c>
      <c r="J21" s="76">
        <v>-0.17245706729407684</v>
      </c>
      <c r="K21" s="50">
        <v>5950181.0749999983</v>
      </c>
      <c r="L21" s="50">
        <v>7190178.104166667</v>
      </c>
      <c r="M21"/>
      <c r="N21" t="s">
        <v>53</v>
      </c>
      <c r="O21" t="s">
        <v>52</v>
      </c>
      <c r="P21" s="76">
        <v>-0.22905316042242307</v>
      </c>
      <c r="Q21" s="50">
        <v>134446400.014375</v>
      </c>
      <c r="R21" s="50">
        <v>174391272.02083337</v>
      </c>
      <c r="S21"/>
      <c r="T21" t="s">
        <v>53</v>
      </c>
      <c r="U21" t="s">
        <v>52</v>
      </c>
      <c r="V21" s="76">
        <v>-0.36924412101508708</v>
      </c>
      <c r="W21" s="50">
        <v>11407471.033437502</v>
      </c>
      <c r="X21" s="50">
        <v>18085397.875</v>
      </c>
    </row>
    <row r="22" spans="2:24" x14ac:dyDescent="0.3">
      <c r="B22" t="s">
        <v>29</v>
      </c>
      <c r="C22" t="s">
        <v>28</v>
      </c>
      <c r="D22" s="76">
        <v>-1.2873396506144386E-2</v>
      </c>
      <c r="E22" s="50">
        <v>390330571.23062468</v>
      </c>
      <c r="F22" s="50">
        <v>395420982.32291669</v>
      </c>
      <c r="G22"/>
      <c r="H22" t="s">
        <v>29</v>
      </c>
      <c r="I22" t="s">
        <v>28</v>
      </c>
      <c r="J22" s="76">
        <v>-0.10158206654684854</v>
      </c>
      <c r="K22" s="50">
        <v>10034597.060624991</v>
      </c>
      <c r="L22" s="50">
        <v>11169186.062499998</v>
      </c>
      <c r="M22"/>
      <c r="N22" t="s">
        <v>29</v>
      </c>
      <c r="O22" t="s">
        <v>28</v>
      </c>
      <c r="P22" s="76">
        <v>-0.27439168104231682</v>
      </c>
      <c r="Q22" s="50">
        <v>223955235.46562496</v>
      </c>
      <c r="R22" s="50">
        <v>308644801.35416669</v>
      </c>
      <c r="S22"/>
      <c r="T22" t="s">
        <v>29</v>
      </c>
      <c r="U22" t="s">
        <v>28</v>
      </c>
      <c r="V22" s="76">
        <v>0.19701947893406513</v>
      </c>
      <c r="W22" s="50">
        <v>20480348.477500018</v>
      </c>
      <c r="X22" s="50">
        <v>17109452.96875</v>
      </c>
    </row>
    <row r="23" spans="2:24" x14ac:dyDescent="0.3">
      <c r="B23" t="s">
        <v>239</v>
      </c>
      <c r="D23" s="76">
        <v>0.7412260656586761</v>
      </c>
      <c r="E23" s="50">
        <v>3741463578.6872883</v>
      </c>
      <c r="F23" s="50">
        <v>3264360167.395833</v>
      </c>
      <c r="G23"/>
      <c r="H23" t="s">
        <v>239</v>
      </c>
      <c r="I23"/>
      <c r="J23" s="76">
        <v>-0.6392669893934646</v>
      </c>
      <c r="K23" s="50">
        <v>127642742.38125002</v>
      </c>
      <c r="L23" s="50">
        <v>147816527.08333334</v>
      </c>
      <c r="M23"/>
      <c r="N23" t="s">
        <v>239</v>
      </c>
      <c r="O23"/>
      <c r="P23" s="76">
        <v>-0.42991079085591577</v>
      </c>
      <c r="Q23" s="50">
        <v>2307318096.3487477</v>
      </c>
      <c r="R23" s="50">
        <v>2497361571.333333</v>
      </c>
      <c r="S23"/>
      <c r="T23" t="s">
        <v>239</v>
      </c>
      <c r="U23"/>
      <c r="V23" s="76">
        <v>-1.0363417795580923</v>
      </c>
      <c r="W23" s="50">
        <v>184694488.95937505</v>
      </c>
      <c r="X23" s="50">
        <v>244671791.3125</v>
      </c>
    </row>
    <row r="24" spans="2:24" x14ac:dyDescent="0.3">
      <c r="G24"/>
      <c r="H24"/>
      <c r="I24"/>
      <c r="J24"/>
      <c r="K24"/>
      <c r="L24"/>
      <c r="M24"/>
      <c r="N24"/>
      <c r="O24"/>
      <c r="P24"/>
      <c r="Q24"/>
      <c r="R24"/>
      <c r="S24"/>
      <c r="T24"/>
      <c r="U24"/>
      <c r="V24"/>
    </row>
    <row r="25" spans="2:24" x14ac:dyDescent="0.3">
      <c r="G25"/>
      <c r="H25"/>
      <c r="I25"/>
      <c r="J25"/>
      <c r="K25"/>
      <c r="L25"/>
      <c r="M25"/>
      <c r="N25"/>
      <c r="O25"/>
      <c r="P25"/>
      <c r="Q25"/>
      <c r="R25"/>
      <c r="S25"/>
      <c r="T25"/>
      <c r="U25"/>
      <c r="V25"/>
    </row>
    <row r="26" spans="2:24" x14ac:dyDescent="0.3">
      <c r="G26"/>
      <c r="H26"/>
      <c r="I26"/>
      <c r="J26"/>
      <c r="K26"/>
      <c r="L26"/>
      <c r="M26"/>
      <c r="N26"/>
      <c r="O26"/>
      <c r="P26"/>
      <c r="Q26"/>
      <c r="R26"/>
      <c r="S26"/>
      <c r="T26"/>
      <c r="U26"/>
      <c r="V26"/>
    </row>
    <row r="27" spans="2:24" x14ac:dyDescent="0.3">
      <c r="G27"/>
      <c r="H27"/>
      <c r="I27"/>
      <c r="J27"/>
      <c r="K27"/>
      <c r="L27"/>
      <c r="M27"/>
      <c r="N27"/>
      <c r="O27"/>
      <c r="P27"/>
      <c r="Q27"/>
      <c r="R27"/>
      <c r="S27"/>
      <c r="T27"/>
      <c r="U27"/>
      <c r="V27"/>
    </row>
    <row r="28" spans="2:24" x14ac:dyDescent="0.3">
      <c r="G28"/>
      <c r="H28"/>
      <c r="I28"/>
      <c r="J28"/>
      <c r="K28"/>
      <c r="L28"/>
      <c r="M28"/>
      <c r="N28"/>
      <c r="O28"/>
      <c r="P28"/>
      <c r="Q28"/>
      <c r="R28"/>
      <c r="S28"/>
      <c r="T28"/>
      <c r="U28"/>
      <c r="V28"/>
    </row>
    <row r="29" spans="2:24" x14ac:dyDescent="0.3">
      <c r="G29"/>
      <c r="H29"/>
      <c r="I29"/>
      <c r="J29"/>
      <c r="K29"/>
      <c r="L29"/>
      <c r="M29"/>
      <c r="N29"/>
      <c r="O29"/>
      <c r="P29"/>
      <c r="Q29"/>
      <c r="R29"/>
      <c r="S29"/>
      <c r="T29"/>
      <c r="U29"/>
      <c r="V29"/>
    </row>
    <row r="30" spans="2:24" x14ac:dyDescent="0.3">
      <c r="G30"/>
      <c r="H30"/>
      <c r="I30"/>
      <c r="J30"/>
      <c r="K30"/>
      <c r="L30"/>
      <c r="M30"/>
      <c r="N30"/>
      <c r="O30"/>
      <c r="P30"/>
      <c r="Q30"/>
      <c r="R30"/>
      <c r="S30"/>
      <c r="T30"/>
      <c r="U30"/>
      <c r="V30"/>
    </row>
    <row r="31" spans="2:24" x14ac:dyDescent="0.3">
      <c r="G31"/>
      <c r="H31"/>
      <c r="I31"/>
      <c r="J31"/>
      <c r="K31"/>
      <c r="L31"/>
      <c r="M31"/>
      <c r="N31"/>
      <c r="O31"/>
      <c r="P31"/>
      <c r="Q31"/>
      <c r="R31"/>
      <c r="S31"/>
      <c r="T31"/>
      <c r="U31"/>
      <c r="V31"/>
    </row>
    <row r="32" spans="2:24" x14ac:dyDescent="0.3">
      <c r="G32"/>
      <c r="H32"/>
      <c r="I32"/>
      <c r="J32"/>
      <c r="K32"/>
      <c r="L32"/>
      <c r="M32"/>
      <c r="N32"/>
      <c r="O32"/>
      <c r="P32"/>
      <c r="Q32"/>
      <c r="R32"/>
      <c r="S32"/>
      <c r="T32"/>
      <c r="U32"/>
      <c r="V32"/>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spans="7:22" x14ac:dyDescent="0.3">
      <c r="G129"/>
      <c r="H129"/>
      <c r="I129"/>
      <c r="J129"/>
      <c r="K129"/>
      <c r="L129"/>
      <c r="M129"/>
      <c r="N129"/>
      <c r="O129"/>
      <c r="P129"/>
      <c r="Q129"/>
      <c r="R129"/>
      <c r="S129"/>
      <c r="T129"/>
      <c r="U129"/>
      <c r="V129"/>
    </row>
    <row r="130" spans="7:22" x14ac:dyDescent="0.3">
      <c r="G130"/>
      <c r="H130"/>
      <c r="I130"/>
      <c r="J130"/>
      <c r="K130"/>
      <c r="L130"/>
      <c r="M130"/>
      <c r="N130"/>
      <c r="O130"/>
      <c r="P130"/>
      <c r="Q130"/>
      <c r="R130"/>
      <c r="S130"/>
      <c r="T130"/>
      <c r="U130"/>
      <c r="V130"/>
    </row>
    <row r="131" spans="7:22" x14ac:dyDescent="0.3">
      <c r="G131"/>
      <c r="H131"/>
      <c r="I131"/>
      <c r="J131"/>
      <c r="K131"/>
      <c r="L131"/>
      <c r="M131"/>
      <c r="N131"/>
      <c r="O131"/>
      <c r="P131"/>
      <c r="Q131"/>
      <c r="R131"/>
      <c r="S131"/>
      <c r="T131"/>
      <c r="U131"/>
      <c r="V131"/>
    </row>
    <row r="132" spans="7:22" x14ac:dyDescent="0.3">
      <c r="G132"/>
      <c r="H132"/>
      <c r="I132"/>
      <c r="J132"/>
      <c r="K132"/>
      <c r="L132"/>
      <c r="M132"/>
      <c r="N132"/>
      <c r="O132"/>
      <c r="P132"/>
      <c r="Q132"/>
      <c r="R132"/>
      <c r="S132"/>
      <c r="T132"/>
      <c r="U132"/>
      <c r="V132"/>
    </row>
    <row r="133" spans="7:22" x14ac:dyDescent="0.3">
      <c r="G133"/>
      <c r="H133"/>
      <c r="I133"/>
      <c r="J133"/>
      <c r="K133"/>
      <c r="L133"/>
      <c r="M133"/>
      <c r="N133"/>
      <c r="O133"/>
      <c r="P133"/>
      <c r="Q133"/>
      <c r="R133"/>
      <c r="S133"/>
      <c r="T133"/>
      <c r="U133"/>
      <c r="V133"/>
    </row>
    <row r="134" spans="7:22" x14ac:dyDescent="0.3">
      <c r="G134"/>
      <c r="H134"/>
      <c r="I134"/>
      <c r="J134"/>
      <c r="K134"/>
      <c r="L134"/>
      <c r="M134"/>
      <c r="N134"/>
      <c r="O134"/>
      <c r="P134"/>
      <c r="Q134"/>
      <c r="R134"/>
      <c r="S134"/>
      <c r="T134"/>
      <c r="U134"/>
      <c r="V134"/>
    </row>
    <row r="135" spans="7:22" x14ac:dyDescent="0.3">
      <c r="G135"/>
      <c r="H135"/>
      <c r="I135"/>
      <c r="J135"/>
      <c r="K135"/>
      <c r="L135"/>
      <c r="M135"/>
      <c r="N135"/>
      <c r="O135"/>
      <c r="P135"/>
      <c r="Q135"/>
      <c r="R135"/>
      <c r="S135"/>
      <c r="T135"/>
      <c r="U135"/>
      <c r="V135"/>
    </row>
    <row r="136" spans="7:22" x14ac:dyDescent="0.3">
      <c r="G136"/>
      <c r="H136"/>
      <c r="I136"/>
      <c r="J136"/>
      <c r="K136"/>
      <c r="L136"/>
      <c r="M136"/>
      <c r="N136"/>
      <c r="O136"/>
      <c r="P136"/>
      <c r="Q136"/>
      <c r="R136"/>
      <c r="S136"/>
      <c r="T136"/>
      <c r="U136"/>
      <c r="V136"/>
    </row>
    <row r="137" spans="7:22" x14ac:dyDescent="0.3">
      <c r="G137"/>
      <c r="H137"/>
      <c r="I137"/>
      <c r="J137"/>
      <c r="K137"/>
      <c r="L137"/>
      <c r="M137"/>
      <c r="N137"/>
      <c r="O137"/>
      <c r="P137"/>
      <c r="Q137"/>
      <c r="R137"/>
      <c r="S137"/>
      <c r="T137"/>
      <c r="U137"/>
      <c r="V137"/>
    </row>
    <row r="138" spans="7:22" x14ac:dyDescent="0.3">
      <c r="G138"/>
      <c r="H138"/>
      <c r="I138"/>
      <c r="J138"/>
      <c r="K138"/>
      <c r="L138"/>
      <c r="M138"/>
      <c r="N138"/>
      <c r="O138"/>
      <c r="P138"/>
      <c r="Q138"/>
      <c r="R138"/>
      <c r="S138"/>
      <c r="T138"/>
      <c r="U138"/>
      <c r="V138"/>
    </row>
    <row r="139" spans="7:22" x14ac:dyDescent="0.3">
      <c r="G139"/>
      <c r="H139"/>
      <c r="I139"/>
      <c r="J139"/>
      <c r="K139"/>
      <c r="L139"/>
      <c r="M139"/>
      <c r="N139"/>
      <c r="O139"/>
      <c r="P139"/>
      <c r="Q139"/>
      <c r="R139"/>
      <c r="S139"/>
    </row>
    <row r="140" spans="7:22" x14ac:dyDescent="0.3">
      <c r="G140"/>
      <c r="H140"/>
      <c r="I140"/>
      <c r="J140"/>
      <c r="K140"/>
      <c r="L140"/>
      <c r="M140"/>
      <c r="N140"/>
      <c r="O140"/>
      <c r="P140"/>
      <c r="Q140"/>
      <c r="R140"/>
      <c r="S140"/>
    </row>
    <row r="141" spans="7:22" x14ac:dyDescent="0.3">
      <c r="G141"/>
      <c r="H141"/>
      <c r="I141"/>
      <c r="J141"/>
      <c r="K141"/>
      <c r="L141"/>
      <c r="M141"/>
      <c r="N141"/>
      <c r="O141"/>
      <c r="P141"/>
      <c r="Q141"/>
      <c r="R141"/>
      <c r="S141"/>
    </row>
    <row r="142" spans="7:22" x14ac:dyDescent="0.3">
      <c r="G142"/>
      <c r="H142"/>
      <c r="I142"/>
      <c r="J142"/>
      <c r="K142"/>
      <c r="L142"/>
      <c r="M142"/>
      <c r="N142"/>
      <c r="O142"/>
      <c r="P142"/>
      <c r="Q142"/>
      <c r="R142"/>
      <c r="S142"/>
    </row>
    <row r="143" spans="7:22" x14ac:dyDescent="0.3">
      <c r="G143"/>
      <c r="H143"/>
      <c r="I143"/>
      <c r="J143"/>
      <c r="K143"/>
      <c r="L143"/>
      <c r="M143"/>
      <c r="N143"/>
      <c r="O143"/>
      <c r="P143"/>
      <c r="Q143"/>
      <c r="R143"/>
      <c r="S143"/>
    </row>
    <row r="144" spans="7:22" x14ac:dyDescent="0.3">
      <c r="G144"/>
      <c r="H144"/>
      <c r="I144"/>
      <c r="J144"/>
      <c r="K144"/>
      <c r="L144"/>
      <c r="M144"/>
      <c r="N144"/>
      <c r="O144"/>
      <c r="P144"/>
      <c r="Q144"/>
      <c r="R144"/>
      <c r="S144"/>
    </row>
    <row r="145" spans="7:19" x14ac:dyDescent="0.3">
      <c r="G145"/>
      <c r="H145"/>
      <c r="I145"/>
      <c r="J145"/>
      <c r="K145"/>
      <c r="L145"/>
      <c r="M145"/>
      <c r="N145"/>
      <c r="O145"/>
      <c r="P145"/>
      <c r="Q145"/>
      <c r="R145"/>
      <c r="S145"/>
    </row>
    <row r="146" spans="7:19" x14ac:dyDescent="0.3">
      <c r="G146"/>
      <c r="H146"/>
      <c r="I146"/>
      <c r="J146"/>
      <c r="K146"/>
      <c r="L146"/>
      <c r="M146"/>
      <c r="N146"/>
      <c r="O146"/>
      <c r="P146"/>
      <c r="Q146"/>
      <c r="R146"/>
      <c r="S146"/>
    </row>
    <row r="147" spans="7:19" x14ac:dyDescent="0.3">
      <c r="G147"/>
      <c r="H147"/>
      <c r="I147"/>
      <c r="J147"/>
      <c r="K147"/>
      <c r="L147"/>
      <c r="M147"/>
      <c r="N147"/>
      <c r="O147"/>
      <c r="P147"/>
      <c r="Q147"/>
      <c r="R147"/>
      <c r="S147"/>
    </row>
    <row r="148" spans="7:19" x14ac:dyDescent="0.3">
      <c r="G148"/>
      <c r="H148"/>
      <c r="I148"/>
      <c r="J148"/>
      <c r="K148"/>
      <c r="L148"/>
      <c r="M148"/>
      <c r="N148"/>
      <c r="O148"/>
      <c r="P148"/>
      <c r="Q148"/>
      <c r="R148"/>
      <c r="S148"/>
    </row>
    <row r="149" spans="7:19" x14ac:dyDescent="0.3">
      <c r="G149"/>
      <c r="H149"/>
      <c r="I149"/>
      <c r="J149"/>
      <c r="K149"/>
      <c r="L149"/>
      <c r="M149"/>
      <c r="N149"/>
      <c r="O149"/>
    </row>
    <row r="150" spans="7:19" x14ac:dyDescent="0.3">
      <c r="G150"/>
      <c r="H150"/>
      <c r="I150"/>
      <c r="J150"/>
      <c r="K150"/>
      <c r="L150"/>
      <c r="M150"/>
      <c r="N150"/>
      <c r="O150"/>
    </row>
    <row r="151" spans="7:19" x14ac:dyDescent="0.3">
      <c r="G151"/>
      <c r="H151"/>
      <c r="I151"/>
      <c r="J151"/>
      <c r="K151"/>
      <c r="L151"/>
      <c r="M151"/>
      <c r="N151"/>
      <c r="O151"/>
    </row>
    <row r="152" spans="7:19" x14ac:dyDescent="0.3">
      <c r="G152"/>
      <c r="H152"/>
      <c r="I152"/>
      <c r="J152"/>
      <c r="K152"/>
      <c r="L152"/>
      <c r="M152"/>
      <c r="N152"/>
      <c r="O152"/>
    </row>
    <row r="153" spans="7:19" x14ac:dyDescent="0.3">
      <c r="G153"/>
      <c r="H153"/>
      <c r="I153"/>
      <c r="J153"/>
      <c r="K153"/>
      <c r="L153"/>
      <c r="M153"/>
      <c r="N153"/>
      <c r="O153"/>
    </row>
    <row r="154" spans="7:19" x14ac:dyDescent="0.3">
      <c r="G154"/>
      <c r="H154"/>
      <c r="I154"/>
      <c r="J154"/>
      <c r="K154"/>
      <c r="L154"/>
      <c r="M154"/>
      <c r="N154"/>
      <c r="O154"/>
    </row>
    <row r="155" spans="7:19" x14ac:dyDescent="0.3">
      <c r="G155"/>
      <c r="H155"/>
      <c r="I155"/>
      <c r="J155"/>
      <c r="K155"/>
      <c r="L155"/>
      <c r="M155"/>
      <c r="N155"/>
      <c r="O155"/>
    </row>
    <row r="156" spans="7:19" x14ac:dyDescent="0.3">
      <c r="G156"/>
      <c r="H156"/>
      <c r="I156"/>
      <c r="J156"/>
      <c r="K156"/>
      <c r="L156"/>
      <c r="M156"/>
      <c r="N156"/>
      <c r="O156"/>
    </row>
    <row r="157" spans="7:19" x14ac:dyDescent="0.3">
      <c r="G157"/>
      <c r="H157"/>
      <c r="I157"/>
      <c r="J157"/>
      <c r="K157"/>
      <c r="L157"/>
      <c r="M157"/>
      <c r="N157"/>
      <c r="O157"/>
    </row>
    <row r="158" spans="7:19" x14ac:dyDescent="0.3">
      <c r="G158"/>
      <c r="H158"/>
      <c r="I158"/>
      <c r="J158"/>
      <c r="K158"/>
      <c r="L158"/>
      <c r="M158"/>
    </row>
    <row r="159" spans="7:19" x14ac:dyDescent="0.3">
      <c r="G159"/>
    </row>
    <row r="160" spans="7:19" x14ac:dyDescent="0.3">
      <c r="G160"/>
    </row>
    <row r="161" spans="7:7" x14ac:dyDescent="0.3">
      <c r="G161"/>
    </row>
    <row r="162" spans="7:7" x14ac:dyDescent="0.3">
      <c r="G162"/>
    </row>
    <row r="163" spans="7:7" x14ac:dyDescent="0.3">
      <c r="G163"/>
    </row>
    <row r="164" spans="7:7" x14ac:dyDescent="0.3">
      <c r="G164"/>
    </row>
    <row r="165" spans="7:7" x14ac:dyDescent="0.3">
      <c r="G165"/>
    </row>
    <row r="166" spans="7:7" x14ac:dyDescent="0.3">
      <c r="G166"/>
    </row>
    <row r="167" spans="7:7" x14ac:dyDescent="0.3">
      <c r="G167"/>
    </row>
    <row r="168" spans="7:7" x14ac:dyDescent="0.3">
      <c r="G168"/>
    </row>
    <row r="169" spans="7:7" x14ac:dyDescent="0.3">
      <c r="G169"/>
    </row>
    <row r="170" spans="7:7" x14ac:dyDescent="0.3">
      <c r="G170"/>
    </row>
    <row r="171" spans="7:7" x14ac:dyDescent="0.3">
      <c r="G171"/>
    </row>
    <row r="172" spans="7:7" x14ac:dyDescent="0.3">
      <c r="G172"/>
    </row>
    <row r="173" spans="7:7" x14ac:dyDescent="0.3">
      <c r="G173"/>
    </row>
    <row r="174" spans="7:7" x14ac:dyDescent="0.3">
      <c r="G174"/>
    </row>
    <row r="175" spans="7:7" x14ac:dyDescent="0.3">
      <c r="G175"/>
    </row>
    <row r="176" spans="7:7" x14ac:dyDescent="0.3">
      <c r="G176"/>
    </row>
    <row r="177" spans="7:7" x14ac:dyDescent="0.3">
      <c r="G177"/>
    </row>
  </sheetData>
  <sheetProtection algorithmName="SHA-512" hashValue="T8URmdJhiK8P1tdZmusF9HdUefvBCLFnFTewuoD9m+zR3zY74Xz4OPsY9ZX516GvzzcybAa3syG/tKvaoCOsZw==" saltValue="KL+8Wdd8FyUW0a/5poc0jA==" spinCount="100000" sheet="1" objects="1" scenarios="1"/>
  <conditionalFormatting sqref="AM5:BB9">
    <cfRule type="cellIs" dxfId="17" priority="13" operator="lessThan">
      <formula>0</formula>
    </cfRule>
  </conditionalFormatting>
  <pageMargins left="0.7" right="0.7" top="0.75" bottom="0.75" header="0.3" footer="0.3"/>
  <drawing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DASHBOARD_BR</vt:lpstr>
      <vt:lpstr>SUMMARY MT 2026</vt:lpstr>
      <vt:lpstr>STM</vt:lpstr>
      <vt:lpstr>PVT_VICTORIA BY EXTENTION</vt:lpstr>
      <vt:lpstr>'SUMMARY MT 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junismyname</dc:creator>
  <cp:lastModifiedBy>junismyname</cp:lastModifiedBy>
  <dcterms:created xsi:type="dcterms:W3CDTF">2026-02-18T04:12:19Z</dcterms:created>
  <dcterms:modified xsi:type="dcterms:W3CDTF">2026-02-19T04:41:07Z</dcterms:modified>
</cp:coreProperties>
</file>